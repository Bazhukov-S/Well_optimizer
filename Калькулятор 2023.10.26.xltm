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45"/>
  </bookViews>
  <sheets>
    <sheet name="Search_P_wf" sheetId="1" r:id="rId1"/>
  </sheets>
  <functionGroups builtInGroupCount="18"/>
  <definedNames>
    <definedName name="bob_m3m3">Search_P_wf!$C$9</definedName>
    <definedName name="D">Search_P_wf!$C$36</definedName>
    <definedName name="d_glv">Search_P_wf!$C$41</definedName>
    <definedName name="d_in">Search_P_wf!$C$37</definedName>
    <definedName name="d_out">Search_P_wf!$C$38</definedName>
    <definedName name="Din.с">Search_P_wf!$C$47</definedName>
    <definedName name="dout">Search_P_wf!$C$49</definedName>
    <definedName name="flow_correlation">Search_P_wf!$C$33</definedName>
    <definedName name="fw_perc">Search_P_wf!$C$24</definedName>
    <definedName name="gamma_g">Search_P_wf!$C$14</definedName>
    <definedName name="gamma_gas">Search_P_wf!$C$5</definedName>
    <definedName name="gamma_oil">Search_P_wf!$C$4</definedName>
    <definedName name="gamma_wat">Search_P_wf!$C$6</definedName>
    <definedName name="h_bush">Search_P_wf!$C$40</definedName>
    <definedName name="h_gk">Search_P_wf!$C$39</definedName>
    <definedName name="h_list">Search_P_wf!$G$4:$H$215</definedName>
    <definedName name="muob_cP">Search_P_wf!$C$10</definedName>
    <definedName name="p_gg_atma">Search_P_wf!$C$16</definedName>
    <definedName name="p_res_atma">Search_P_wf!$C$19</definedName>
    <definedName name="p_wh_atma">Search_P_wf!$C$28</definedName>
    <definedName name="pb_atma">Search_P_wf!$C$7</definedName>
    <definedName name="pi_sm3dayatma">Search_P_wf!$C$20</definedName>
    <definedName name="PVT_corr_set">Search_P_wf!$C$11</definedName>
    <definedName name="Q_inj">Search_P_wf!$C$16</definedName>
    <definedName name="Q_sm3day">Search_P_wf!$C$30</definedName>
    <definedName name="rp_m3m3">Search_P_wf!$C$25</definedName>
    <definedName name="rsb_m3m3">Search_P_wf!$C$8</definedName>
    <definedName name="t_C">Search_P_wf!$C$15</definedName>
    <definedName name="t_res_C">Search_P_wf!$C$21</definedName>
    <definedName name="t_suf_C">Search_P_wf!$C$29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" l="1" a="1"/>
  <c r="K4" i="1"/>
  <c r="K6" i="1"/>
  <c r="K10" i="1"/>
  <c r="K12" i="1"/>
  <c r="K9" i="1"/>
  <c r="K7" i="1"/>
  <c r="K11" i="1"/>
  <c r="K8" i="1"/>
  <c r="K5" i="1"/>
  <c r="K3" i="1" l="1"/>
</calcChain>
</file>

<file path=xl/sharedStrings.xml><?xml version="1.0" encoding="utf-8"?>
<sst xmlns="http://schemas.openxmlformats.org/spreadsheetml/2006/main" count="67" uniqueCount="50">
  <si>
    <t>PVT</t>
  </si>
  <si>
    <t>Параметр</t>
  </si>
  <si>
    <t>Значение</t>
  </si>
  <si>
    <t>Единицы измерения</t>
  </si>
  <si>
    <t>-</t>
  </si>
  <si>
    <t>°С</t>
  </si>
  <si>
    <t>gamma_oil</t>
  </si>
  <si>
    <t>gamma_gas</t>
  </si>
  <si>
    <t>gamma_wat</t>
  </si>
  <si>
    <t>pb_atma</t>
  </si>
  <si>
    <t>atma</t>
  </si>
  <si>
    <t>rsb_m3m3</t>
  </si>
  <si>
    <t>m3/m3</t>
  </si>
  <si>
    <t>bob_m3m3</t>
  </si>
  <si>
    <t>muob_cP</t>
  </si>
  <si>
    <t>cP</t>
  </si>
  <si>
    <t>PVT_corr_set</t>
  </si>
  <si>
    <t>PVT_g</t>
  </si>
  <si>
    <t>gamma_g</t>
  </si>
  <si>
    <t>t_C</t>
  </si>
  <si>
    <t>Reservoir</t>
  </si>
  <si>
    <t>p_res_atma</t>
  </si>
  <si>
    <t>pi_sm3dayatma</t>
  </si>
  <si>
    <t>sm3/day/atma</t>
  </si>
  <si>
    <t>t_res_C</t>
  </si>
  <si>
    <t xml:space="preserve">Feed </t>
  </si>
  <si>
    <t>fw_perc</t>
  </si>
  <si>
    <t>%</t>
  </si>
  <si>
    <t>rp_m3m3</t>
  </si>
  <si>
    <t>Surface</t>
  </si>
  <si>
    <t>p_gg_atma</t>
  </si>
  <si>
    <t>p_wh_atma</t>
  </si>
  <si>
    <t>t_suf_C</t>
  </si>
  <si>
    <t>Flow_correlation</t>
  </si>
  <si>
    <t>flow_correlation</t>
  </si>
  <si>
    <t>Pipes and GLV</t>
  </si>
  <si>
    <t>mm</t>
  </si>
  <si>
    <t>d_in</t>
  </si>
  <si>
    <t>d_out</t>
  </si>
  <si>
    <t>h_gk</t>
  </si>
  <si>
    <t>h_bush</t>
  </si>
  <si>
    <t>m</t>
  </si>
  <si>
    <t>d_glv</t>
  </si>
  <si>
    <t>Deviation Survey</t>
  </si>
  <si>
    <t>MD, m</t>
  </si>
  <si>
    <t>TVD, m</t>
  </si>
  <si>
    <t>D</t>
  </si>
  <si>
    <t>Q_sm3day</t>
  </si>
  <si>
    <t>sm3day</t>
  </si>
  <si>
    <t>P_wf_atma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</si>
</sst>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K215"/>
  <sheetViews>
    <sheetView tabSelected="1" zoomScale="85" zoomScaleNormal="85" workbookViewId="0">
      <selection activeCell="F29" sqref="F29"/>
    </sheetView>
  </sheetViews>
  <sheetFormatPr defaultRowHeight="15" x14ac:dyDescent="0.25"/>
  <cols>
    <col min="2" max="2" width="31" bestFit="1" customWidth="1"/>
    <col min="3" max="3" width="9.7109375" bestFit="1" customWidth="1"/>
    <col min="4" max="4" width="20.42578125" bestFit="1" customWidth="1"/>
    <col min="7" max="7" width="7.140625" bestFit="1" customWidth="1"/>
    <col min="9" max="9" width="13.85546875" bestFit="1" customWidth="1"/>
    <col min="11" max="11" width="11" bestFit="1" customWidth="1"/>
    <col min="19" max="19" width="14.5703125" bestFit="1" customWidth="1"/>
  </cols>
  <sheetData>
    <row r="1" spans="2:11" ht="15" customHeight="1" x14ac:dyDescent="0.25"/>
    <row r="2" spans="2:11" x14ac:dyDescent="0.25">
      <c r="B2" s="8" t="s">
        <v>0</v>
      </c>
      <c r="C2" s="9"/>
      <c r="D2" s="10"/>
      <c r="G2" s="11" t="s">
        <v>43</v>
      </c>
      <c r="H2" s="11"/>
      <c r="J2" s="3" t="s">
        <v>28</v>
      </c>
      <c r="K2" s="3" t="s">
        <v>49</v>
      </c>
    </row>
    <row r="3" spans="2:11" x14ac:dyDescent="0.25">
      <c r="B3" s="1" t="s">
        <v>1</v>
      </c>
      <c r="C3" s="2" t="s">
        <v>2</v>
      </c>
      <c r="D3" s="1" t="s">
        <v>3</v>
      </c>
      <c r="G3" s="5" t="s">
        <v>44</v>
      </c>
      <c r="H3" s="5" t="s">
        <v>45</v>
      </c>
      <c r="J3" s="4">
        <v>100</v>
      </c>
      <c r="K3" s="6">
        <f t="array" ref="K3">gaslift_with_packer(gamma_oil,gamma_gas,gamma_wat,pb_atma,rsb_m3m3,bob_m3m3,muob_cP,fw_perc,J3,gamma_g,D,d_in,d_out,h_gk,h_bush,t_suf_C,Q_sm3day,p_wh_atma,t_res_C,p_gg_atma,d_glv,PVT_corr_set,flow_correlation)</f>
        <v>156.208</v>
      </c>
    </row>
    <row r="4" spans="2:11" x14ac:dyDescent="0.25">
      <c r="B4" s="3" t="s">
        <v>6</v>
      </c>
      <c r="C4" s="4">
        <v>0.83599999999999997</v>
      </c>
      <c r="D4" s="3" t="s">
        <v>4</v>
      </c>
      <c r="G4" s="4">
        <v>0</v>
      </c>
      <c r="H4" s="4">
        <v>0</v>
      </c>
      <c r="J4" s="4">
        <v>200</v>
      </c>
      <c r="K4" s="6">
        <f>gaslift_with_packer(gamma_oil,gamma_gas,gamma_wat,pb_atma,rsb_m3m3,bob_m3m3,muob_cP,fw_perc,rp_m3m3,gamma_g,D,d_in,d_out,h_gk,h_bush,t_suf_C,Q_sm3day,p_wh_atma,t_res_C,p_gg_atma,d_glv,PVT_corr_set,flow_correlation)</f>
        <v>71.061000000000007</v>
      </c>
    </row>
    <row r="5" spans="2:11" x14ac:dyDescent="0.25">
      <c r="B5" s="3" t="s">
        <v>7</v>
      </c>
      <c r="C5" s="4">
        <v>0.64</v>
      </c>
      <c r="D5" s="3" t="s">
        <v>4</v>
      </c>
      <c r="G5" s="4">
        <v>20</v>
      </c>
      <c r="H5" s="4">
        <v>20</v>
      </c>
      <c r="J5" s="4">
        <v>300</v>
      </c>
      <c r="K5" s="6">
        <f>gaslift_with_packer(gamma_oil,gamma_gas,gamma_wat,pb_atma,rsb_m3m3,bob_m3m3,muob_cP,fw_perc,J5,gamma_g,D,d_in,d_out,h_gk,h_bush,t_suf_C,Q_sm3day,p_wh_atma,t_res_C,p_gg_atma,d_glv,PVT_corr_set,flow_correlation)</f>
        <v>64.066000000000003</v>
      </c>
    </row>
    <row r="6" spans="2:11" x14ac:dyDescent="0.25">
      <c r="B6" s="3" t="s">
        <v>8</v>
      </c>
      <c r="C6" s="4">
        <v>1.17</v>
      </c>
      <c r="D6" s="3" t="s">
        <v>4</v>
      </c>
      <c r="G6" s="4">
        <v>40</v>
      </c>
      <c r="H6" s="4">
        <v>40</v>
      </c>
      <c r="J6" s="4">
        <v>400</v>
      </c>
      <c r="K6" s="6">
        <f>gaslift_with_packer(gamma_oil,gamma_gas,gamma_wat,pb_atma,rsb_m3m3,bob_m3m3,muob_cP,fw_perc,J6,gamma_g,D,d_in,d_out,h_gk,h_bush,t_suf_C,Q_sm3day,p_wh_atma,t_res_C,p_gg_atma,d_glv,PVT_corr_set,flow_correlation)</f>
        <v>56.929000000000002</v>
      </c>
    </row>
    <row r="7" spans="2:11" x14ac:dyDescent="0.25">
      <c r="B7" s="3" t="s">
        <v>9</v>
      </c>
      <c r="C7" s="4">
        <v>203</v>
      </c>
      <c r="D7" s="3" t="s">
        <v>10</v>
      </c>
      <c r="G7" s="4">
        <v>60</v>
      </c>
      <c r="H7" s="4">
        <v>60</v>
      </c>
      <c r="J7" s="4">
        <v>500</v>
      </c>
      <c r="K7" s="6">
        <f>gaslift_with_packer(gamma_oil,gamma_gas,gamma_wat,pb_atma,rsb_m3m3,bob_m3m3,muob_cP,fw_perc,J7,gamma_g,D,d_in,d_out,h_gk,h_bush,t_suf_C,Q_sm3day,p_wh_atma,t_res_C,p_gg_atma,d_glv,PVT_corr_set,flow_correlation)</f>
        <v>53.530999999999999</v>
      </c>
    </row>
    <row r="8" spans="2:11" x14ac:dyDescent="0.25">
      <c r="B8" s="3" t="s">
        <v>11</v>
      </c>
      <c r="C8" s="4">
        <v>179</v>
      </c>
      <c r="D8" s="3" t="s">
        <v>12</v>
      </c>
      <c r="G8" s="4">
        <v>80</v>
      </c>
      <c r="H8" s="4">
        <v>80</v>
      </c>
      <c r="J8" s="4">
        <v>600</v>
      </c>
      <c r="K8" s="6">
        <f>gaslift_with_packer(gamma_oil,gamma_gas,gamma_wat,pb_atma,rsb_m3m3,bob_m3m3,muob_cP,fw_perc,J8,gamma_g,D,d_in,d_out,h_gk,h_bush,t_suf_C,Q_sm3day,p_wh_atma,t_res_C,p_gg_atma,d_glv,PVT_corr_set,flow_correlation)</f>
        <v>51.162999999999997</v>
      </c>
    </row>
    <row r="9" spans="2:11" x14ac:dyDescent="0.25">
      <c r="B9" s="3" t="s">
        <v>13</v>
      </c>
      <c r="C9" s="4">
        <v>1.454</v>
      </c>
      <c r="D9" s="3" t="s">
        <v>12</v>
      </c>
      <c r="G9" s="4">
        <v>100</v>
      </c>
      <c r="H9" s="4">
        <v>100</v>
      </c>
      <c r="J9" s="4">
        <v>700</v>
      </c>
      <c r="K9" s="6">
        <f>gaslift_with_packer(gamma_oil,gamma_gas,gamma_wat,pb_atma,rsb_m3m3,bob_m3m3,muob_cP,fw_perc,J9,gamma_g,D,d_in,d_out,h_gk,h_bush,t_suf_C,Q_sm3day,p_wh_atma,t_res_C,p_gg_atma,d_glv,PVT_corr_set,flow_correlation)</f>
        <v>49.389000000000003</v>
      </c>
    </row>
    <row r="10" spans="2:11" x14ac:dyDescent="0.25">
      <c r="B10" s="3" t="s">
        <v>14</v>
      </c>
      <c r="C10" s="4">
        <v>0.98</v>
      </c>
      <c r="D10" s="3" t="s">
        <v>15</v>
      </c>
      <c r="G10" s="4">
        <v>120</v>
      </c>
      <c r="H10" s="4">
        <v>120</v>
      </c>
      <c r="J10" s="4">
        <v>800</v>
      </c>
      <c r="K10" s="6">
        <f>gaslift_with_packer(gamma_oil,gamma_gas,gamma_wat,pb_atma,rsb_m3m3,bob_m3m3,muob_cP,fw_perc,J10,gamma_g,D,d_in,d_out,h_gk,h_bush,t_suf_C,Q_sm3day,p_wh_atma,t_res_C,p_gg_atma,d_glv,PVT_corr_set,flow_correlation)</f>
        <v>48.033999999999999</v>
      </c>
    </row>
    <row r="11" spans="2:11" x14ac:dyDescent="0.25">
      <c r="B11" s="3" t="s">
        <v>16</v>
      </c>
      <c r="C11" s="4">
        <v>0</v>
      </c>
      <c r="D11" s="3" t="s">
        <v>4</v>
      </c>
      <c r="G11" s="4">
        <v>140</v>
      </c>
      <c r="H11" s="4">
        <v>140</v>
      </c>
      <c r="J11" s="4">
        <v>900</v>
      </c>
      <c r="K11" s="6">
        <f>gaslift_with_packer(gamma_oil,gamma_gas,gamma_wat,pb_atma,rsb_m3m3,bob_m3m3,muob_cP,fw_perc,J11,gamma_g,D,d_in,d_out,h_gk,h_bush,t_suf_C,Q_sm3day,p_wh_atma,t_res_C,p_gg_atma,d_glv,PVT_corr_set,flow_correlation)</f>
        <v>46.984999999999999</v>
      </c>
    </row>
    <row r="12" spans="2:11" x14ac:dyDescent="0.25">
      <c r="G12" s="4">
        <v>160</v>
      </c>
      <c r="H12" s="4">
        <v>160</v>
      </c>
      <c r="J12" s="4">
        <v>1000</v>
      </c>
      <c r="K12" s="6">
        <f>gaslift_with_packer(gamma_oil,gamma_gas,gamma_wat,pb_atma,rsb_m3m3,bob_m3m3,muob_cP,fw_perc,J12,gamma_g,D,d_in,d_out,h_gk,h_bush,t_suf_C,Q_sm3day,p_wh_atma,t_res_C,p_gg_atma,d_glv,PVT_corr_set,flow_correlation)</f>
        <v>46.164999999999999</v>
      </c>
    </row>
    <row r="13" spans="2:11" x14ac:dyDescent="0.25">
      <c r="B13" s="8" t="s">
        <v>17</v>
      </c>
      <c r="C13" s="9"/>
      <c r="D13" s="10"/>
      <c r="G13" s="4">
        <v>180</v>
      </c>
      <c r="H13" s="4">
        <v>180</v>
      </c>
    </row>
    <row r="14" spans="2:11" x14ac:dyDescent="0.25">
      <c r="B14" s="3" t="s">
        <v>18</v>
      </c>
      <c r="C14" s="4">
        <v>0.7</v>
      </c>
      <c r="D14" s="3" t="s">
        <v>4</v>
      </c>
      <c r="G14" s="4">
        <v>200</v>
      </c>
      <c r="H14" s="4">
        <v>200</v>
      </c>
    </row>
    <row r="15" spans="2:11" x14ac:dyDescent="0.25">
      <c r="B15" s="3" t="s">
        <v>19</v>
      </c>
      <c r="C15" s="4"/>
      <c r="D15" s="3" t="s">
        <v>5</v>
      </c>
      <c r="G15" s="4">
        <v>220</v>
      </c>
      <c r="H15" s="4">
        <v>220</v>
      </c>
    </row>
    <row r="16" spans="2:11" x14ac:dyDescent="0.25">
      <c r="B16" s="3" t="s">
        <v>30</v>
      </c>
      <c r="C16" s="4">
        <v>90</v>
      </c>
      <c r="D16" s="3" t="s">
        <v>10</v>
      </c>
      <c r="G16" s="4">
        <v>240</v>
      </c>
      <c r="H16" s="4">
        <v>240</v>
      </c>
    </row>
    <row r="17" spans="2:8" x14ac:dyDescent="0.25">
      <c r="G17" s="4">
        <v>260</v>
      </c>
      <c r="H17" s="4">
        <v>260</v>
      </c>
    </row>
    <row r="18" spans="2:8" x14ac:dyDescent="0.25">
      <c r="B18" s="8" t="s">
        <v>20</v>
      </c>
      <c r="C18" s="9"/>
      <c r="D18" s="10"/>
      <c r="G18" s="4">
        <v>280</v>
      </c>
      <c r="H18" s="4">
        <v>280</v>
      </c>
    </row>
    <row r="19" spans="2:8" ht="15" customHeight="1" x14ac:dyDescent="0.25">
      <c r="B19" s="3" t="s">
        <v>21</v>
      </c>
      <c r="C19" s="4"/>
      <c r="D19" s="3" t="s">
        <v>10</v>
      </c>
      <c r="G19" s="4">
        <v>300</v>
      </c>
      <c r="H19" s="4">
        <v>300</v>
      </c>
    </row>
    <row r="20" spans="2:8" x14ac:dyDescent="0.25">
      <c r="B20" s="3" t="s">
        <v>22</v>
      </c>
      <c r="C20" s="7"/>
      <c r="D20" s="3" t="s">
        <v>23</v>
      </c>
      <c r="G20" s="4">
        <v>320</v>
      </c>
      <c r="H20" s="4">
        <v>320</v>
      </c>
    </row>
    <row r="21" spans="2:8" x14ac:dyDescent="0.25">
      <c r="B21" s="3" t="s">
        <v>24</v>
      </c>
      <c r="C21" s="4">
        <v>34</v>
      </c>
      <c r="D21" s="3" t="s">
        <v>5</v>
      </c>
      <c r="G21" s="4">
        <v>340</v>
      </c>
      <c r="H21" s="4">
        <v>340</v>
      </c>
    </row>
    <row r="22" spans="2:8" x14ac:dyDescent="0.25">
      <c r="G22" s="4">
        <v>360</v>
      </c>
      <c r="H22" s="4">
        <v>360</v>
      </c>
    </row>
    <row r="23" spans="2:8" x14ac:dyDescent="0.25">
      <c r="B23" s="8" t="s">
        <v>25</v>
      </c>
      <c r="C23" s="9"/>
      <c r="D23" s="10"/>
      <c r="G23" s="4">
        <v>380</v>
      </c>
      <c r="H23" s="4">
        <v>380</v>
      </c>
    </row>
    <row r="24" spans="2:8" x14ac:dyDescent="0.25">
      <c r="B24" s="3" t="s">
        <v>26</v>
      </c>
      <c r="C24" s="4">
        <v>30</v>
      </c>
      <c r="D24" s="3" t="s">
        <v>27</v>
      </c>
      <c r="G24" s="4">
        <v>400</v>
      </c>
      <c r="H24" s="4">
        <v>400</v>
      </c>
    </row>
    <row r="25" spans="2:8" x14ac:dyDescent="0.25">
      <c r="B25" s="3" t="s">
        <v>28</v>
      </c>
      <c r="C25" s="6">
        <v>200</v>
      </c>
      <c r="D25" s="3" t="s">
        <v>12</v>
      </c>
      <c r="G25" s="4">
        <v>420</v>
      </c>
      <c r="H25" s="4">
        <v>420</v>
      </c>
    </row>
    <row r="26" spans="2:8" x14ac:dyDescent="0.25">
      <c r="G26" s="4">
        <v>440</v>
      </c>
      <c r="H26" s="4">
        <v>440</v>
      </c>
    </row>
    <row r="27" spans="2:8" x14ac:dyDescent="0.25">
      <c r="B27" s="8" t="s">
        <v>29</v>
      </c>
      <c r="C27" s="9"/>
      <c r="D27" s="10"/>
      <c r="G27" s="4">
        <v>460</v>
      </c>
      <c r="H27" s="4">
        <v>460</v>
      </c>
    </row>
    <row r="28" spans="2:8" x14ac:dyDescent="0.25">
      <c r="B28" s="3" t="s">
        <v>31</v>
      </c>
      <c r="C28" s="4">
        <v>20</v>
      </c>
      <c r="D28" s="3" t="s">
        <v>10</v>
      </c>
      <c r="G28" s="4">
        <v>480</v>
      </c>
      <c r="H28" s="4">
        <v>480</v>
      </c>
    </row>
    <row r="29" spans="2:8" x14ac:dyDescent="0.25">
      <c r="B29" s="3" t="s">
        <v>32</v>
      </c>
      <c r="C29" s="4">
        <v>20</v>
      </c>
      <c r="D29" s="3" t="s">
        <v>5</v>
      </c>
      <c r="G29" s="4">
        <v>500</v>
      </c>
      <c r="H29" s="4">
        <v>500</v>
      </c>
    </row>
    <row r="30" spans="2:8" x14ac:dyDescent="0.25">
      <c r="B30" s="3" t="s">
        <v>47</v>
      </c>
      <c r="C30" s="4">
        <v>35</v>
      </c>
      <c r="D30" s="3" t="s">
        <v>48</v>
      </c>
      <c r="G30" s="4">
        <v>520</v>
      </c>
      <c r="H30" s="4">
        <v>520</v>
      </c>
    </row>
    <row r="31" spans="2:8" x14ac:dyDescent="0.25">
      <c r="G31" s="4">
        <v>540</v>
      </c>
      <c r="H31" s="4">
        <v>540</v>
      </c>
    </row>
    <row r="32" spans="2:8" x14ac:dyDescent="0.25">
      <c r="B32" s="8" t="s">
        <v>33</v>
      </c>
      <c r="C32" s="9"/>
      <c r="D32" s="10"/>
      <c r="G32" s="4">
        <v>560</v>
      </c>
      <c r="H32" s="4">
        <v>560</v>
      </c>
    </row>
    <row r="33" spans="2:8" x14ac:dyDescent="0.25">
      <c r="B33" s="3" t="s">
        <v>34</v>
      </c>
      <c r="C33" s="4">
        <v>1</v>
      </c>
      <c r="D33" s="3" t="s">
        <v>4</v>
      </c>
      <c r="G33" s="4">
        <v>580</v>
      </c>
      <c r="H33" s="4">
        <v>580</v>
      </c>
    </row>
    <row r="34" spans="2:8" x14ac:dyDescent="0.25">
      <c r="G34" s="4">
        <v>600</v>
      </c>
      <c r="H34" s="4">
        <v>600</v>
      </c>
    </row>
    <row r="35" spans="2:8" x14ac:dyDescent="0.25">
      <c r="B35" s="8" t="s">
        <v>35</v>
      </c>
      <c r="C35" s="9"/>
      <c r="D35" s="10"/>
      <c r="G35" s="4">
        <v>620</v>
      </c>
      <c r="H35" s="4">
        <v>620</v>
      </c>
    </row>
    <row r="36" spans="2:8" x14ac:dyDescent="0.25">
      <c r="B36" s="3" t="s">
        <v>46</v>
      </c>
      <c r="C36" s="4">
        <v>160</v>
      </c>
      <c r="D36" s="3" t="s">
        <v>36</v>
      </c>
      <c r="G36" s="4">
        <v>640</v>
      </c>
      <c r="H36" s="4">
        <v>640</v>
      </c>
    </row>
    <row r="37" spans="2:8" x14ac:dyDescent="0.25">
      <c r="B37" s="3" t="s">
        <v>37</v>
      </c>
      <c r="C37" s="4">
        <v>62</v>
      </c>
      <c r="D37" s="3" t="s">
        <v>36</v>
      </c>
      <c r="G37" s="4">
        <v>660</v>
      </c>
      <c r="H37" s="4">
        <v>660</v>
      </c>
    </row>
    <row r="38" spans="2:8" x14ac:dyDescent="0.25">
      <c r="B38" s="3" t="s">
        <v>38</v>
      </c>
      <c r="C38" s="4">
        <v>73</v>
      </c>
      <c r="D38" s="3" t="s">
        <v>36</v>
      </c>
      <c r="G38" s="4">
        <v>680</v>
      </c>
      <c r="H38" s="4">
        <v>680</v>
      </c>
    </row>
    <row r="39" spans="2:8" x14ac:dyDescent="0.25">
      <c r="B39" s="3" t="s">
        <v>39</v>
      </c>
      <c r="C39" s="4">
        <v>1460</v>
      </c>
      <c r="D39" s="3" t="s">
        <v>36</v>
      </c>
      <c r="G39" s="4">
        <v>700</v>
      </c>
      <c r="H39" s="4">
        <v>700</v>
      </c>
    </row>
    <row r="40" spans="2:8" x14ac:dyDescent="0.25">
      <c r="B40" s="3" t="s">
        <v>40</v>
      </c>
      <c r="C40" s="4">
        <v>2152</v>
      </c>
      <c r="D40" s="3" t="s">
        <v>41</v>
      </c>
      <c r="G40" s="4">
        <v>720</v>
      </c>
      <c r="H40" s="4">
        <v>720</v>
      </c>
    </row>
    <row r="41" spans="2:8" x14ac:dyDescent="0.25">
      <c r="B41" s="3" t="s">
        <v>42</v>
      </c>
      <c r="C41" s="4">
        <v>3</v>
      </c>
      <c r="D41" s="3" t="s">
        <v>36</v>
      </c>
      <c r="G41" s="4">
        <v>740</v>
      </c>
      <c r="H41" s="4">
        <v>740</v>
      </c>
    </row>
    <row r="42" spans="2:8" x14ac:dyDescent="0.25">
      <c r="G42" s="4">
        <v>760</v>
      </c>
      <c r="H42" s="4">
        <v>760</v>
      </c>
    </row>
    <row r="43" spans="2:8" x14ac:dyDescent="0.25">
      <c r="G43" s="4">
        <v>780</v>
      </c>
      <c r="H43" s="4">
        <v>780</v>
      </c>
    </row>
    <row r="44" spans="2:8" x14ac:dyDescent="0.25">
      <c r="G44" s="4">
        <v>800</v>
      </c>
      <c r="H44" s="4">
        <v>800</v>
      </c>
    </row>
    <row r="45" spans="2:8" x14ac:dyDescent="0.25">
      <c r="G45" s="4">
        <v>820</v>
      </c>
      <c r="H45" s="4">
        <v>820</v>
      </c>
    </row>
    <row r="46" spans="2:8" x14ac:dyDescent="0.25">
      <c r="G46" s="4">
        <v>840</v>
      </c>
      <c r="H46" s="4">
        <v>840</v>
      </c>
    </row>
    <row r="47" spans="2:8" x14ac:dyDescent="0.25">
      <c r="G47" s="4">
        <v>860</v>
      </c>
      <c r="H47" s="4">
        <v>860</v>
      </c>
    </row>
    <row r="48" spans="2:8" x14ac:dyDescent="0.25">
      <c r="G48" s="4">
        <v>880</v>
      </c>
      <c r="H48" s="4">
        <v>880</v>
      </c>
    </row>
    <row r="49" spans="7:8" x14ac:dyDescent="0.25">
      <c r="G49" s="4">
        <v>900</v>
      </c>
      <c r="H49" s="4">
        <v>900</v>
      </c>
    </row>
    <row r="50" spans="7:8" x14ac:dyDescent="0.25">
      <c r="G50" s="4">
        <v>920</v>
      </c>
      <c r="H50" s="4">
        <v>920</v>
      </c>
    </row>
    <row r="51" spans="7:8" x14ac:dyDescent="0.25">
      <c r="G51" s="4">
        <v>940</v>
      </c>
      <c r="H51" s="4">
        <v>940</v>
      </c>
    </row>
    <row r="52" spans="7:8" x14ac:dyDescent="0.25">
      <c r="G52" s="4">
        <v>960</v>
      </c>
      <c r="H52" s="4">
        <v>960</v>
      </c>
    </row>
    <row r="53" spans="7:8" x14ac:dyDescent="0.25">
      <c r="G53" s="4">
        <v>980</v>
      </c>
      <c r="H53" s="4">
        <v>980</v>
      </c>
    </row>
    <row r="54" spans="7:8" x14ac:dyDescent="0.25">
      <c r="G54" s="4">
        <v>1000</v>
      </c>
      <c r="H54" s="4">
        <v>1000</v>
      </c>
    </row>
    <row r="55" spans="7:8" x14ac:dyDescent="0.25">
      <c r="G55" s="4">
        <v>1020</v>
      </c>
      <c r="H55" s="4">
        <v>1020</v>
      </c>
    </row>
    <row r="56" spans="7:8" x14ac:dyDescent="0.25">
      <c r="G56" s="4">
        <v>1040</v>
      </c>
      <c r="H56" s="4">
        <v>1040</v>
      </c>
    </row>
    <row r="57" spans="7:8" x14ac:dyDescent="0.25">
      <c r="G57" s="4">
        <v>1060</v>
      </c>
      <c r="H57" s="4">
        <v>1059</v>
      </c>
    </row>
    <row r="58" spans="7:8" x14ac:dyDescent="0.25">
      <c r="G58" s="4">
        <v>1080</v>
      </c>
      <c r="H58" s="4">
        <v>1079</v>
      </c>
    </row>
    <row r="59" spans="7:8" x14ac:dyDescent="0.25">
      <c r="G59" s="4">
        <v>1100</v>
      </c>
      <c r="H59" s="4">
        <v>1098</v>
      </c>
    </row>
    <row r="60" spans="7:8" x14ac:dyDescent="0.25">
      <c r="G60" s="4">
        <v>1120</v>
      </c>
      <c r="H60" s="4">
        <v>1118</v>
      </c>
    </row>
    <row r="61" spans="7:8" x14ac:dyDescent="0.25">
      <c r="G61" s="4">
        <v>1140</v>
      </c>
      <c r="H61" s="4">
        <v>1137</v>
      </c>
    </row>
    <row r="62" spans="7:8" x14ac:dyDescent="0.25">
      <c r="G62" s="4">
        <v>1160</v>
      </c>
      <c r="H62" s="4">
        <v>1156</v>
      </c>
    </row>
    <row r="63" spans="7:8" x14ac:dyDescent="0.25">
      <c r="G63" s="4">
        <v>1180</v>
      </c>
      <c r="H63" s="4">
        <v>1175</v>
      </c>
    </row>
    <row r="64" spans="7:8" x14ac:dyDescent="0.25">
      <c r="G64" s="4">
        <v>1200</v>
      </c>
      <c r="H64" s="4">
        <v>1193</v>
      </c>
    </row>
    <row r="65" spans="7:8" x14ac:dyDescent="0.25">
      <c r="G65" s="4">
        <v>1220</v>
      </c>
      <c r="H65" s="4">
        <v>1212</v>
      </c>
    </row>
    <row r="66" spans="7:8" x14ac:dyDescent="0.25">
      <c r="G66" s="4">
        <v>1240</v>
      </c>
      <c r="H66" s="4">
        <v>1230</v>
      </c>
    </row>
    <row r="67" spans="7:8" x14ac:dyDescent="0.25">
      <c r="G67" s="4">
        <v>1260</v>
      </c>
      <c r="H67" s="4">
        <v>1248</v>
      </c>
    </row>
    <row r="68" spans="7:8" x14ac:dyDescent="0.25">
      <c r="G68" s="4">
        <v>1280</v>
      </c>
      <c r="H68" s="4">
        <v>1266</v>
      </c>
    </row>
    <row r="69" spans="7:8" x14ac:dyDescent="0.25">
      <c r="G69" s="4">
        <v>1300</v>
      </c>
      <c r="H69" s="4">
        <v>1284</v>
      </c>
    </row>
    <row r="70" spans="7:8" x14ac:dyDescent="0.25">
      <c r="G70" s="4">
        <v>1320</v>
      </c>
      <c r="H70" s="4">
        <v>1302</v>
      </c>
    </row>
    <row r="71" spans="7:8" x14ac:dyDescent="0.25">
      <c r="G71" s="4">
        <v>1340</v>
      </c>
      <c r="H71" s="4">
        <v>1319</v>
      </c>
    </row>
    <row r="72" spans="7:8" x14ac:dyDescent="0.25">
      <c r="G72" s="4">
        <v>1360</v>
      </c>
      <c r="H72" s="4">
        <v>1337</v>
      </c>
    </row>
    <row r="73" spans="7:8" x14ac:dyDescent="0.25">
      <c r="G73" s="4">
        <v>1380</v>
      </c>
      <c r="H73" s="4">
        <v>1354</v>
      </c>
    </row>
    <row r="74" spans="7:8" x14ac:dyDescent="0.25">
      <c r="G74" s="4">
        <v>1400</v>
      </c>
      <c r="H74" s="4">
        <v>1371</v>
      </c>
    </row>
    <row r="75" spans="7:8" x14ac:dyDescent="0.25">
      <c r="G75" s="4">
        <v>1420</v>
      </c>
      <c r="H75" s="4">
        <v>1388</v>
      </c>
    </row>
    <row r="76" spans="7:8" x14ac:dyDescent="0.25">
      <c r="G76" s="4">
        <v>1440</v>
      </c>
      <c r="H76" s="4">
        <v>1404</v>
      </c>
    </row>
    <row r="77" spans="7:8" x14ac:dyDescent="0.25">
      <c r="G77" s="4">
        <v>1460</v>
      </c>
      <c r="H77" s="4">
        <v>1420</v>
      </c>
    </row>
    <row r="78" spans="7:8" x14ac:dyDescent="0.25">
      <c r="G78" s="4">
        <v>1500</v>
      </c>
      <c r="H78" s="4">
        <v>1451</v>
      </c>
    </row>
    <row r="79" spans="7:8" x14ac:dyDescent="0.25">
      <c r="G79" s="4">
        <v>1540</v>
      </c>
      <c r="H79" s="4">
        <v>1481</v>
      </c>
    </row>
    <row r="80" spans="7:8" x14ac:dyDescent="0.25">
      <c r="G80" s="4">
        <v>1580</v>
      </c>
      <c r="H80" s="4">
        <v>1510</v>
      </c>
    </row>
    <row r="81" spans="7:8" x14ac:dyDescent="0.25">
      <c r="G81" s="4">
        <v>1620</v>
      </c>
      <c r="H81" s="4">
        <v>1535</v>
      </c>
    </row>
    <row r="82" spans="7:8" x14ac:dyDescent="0.25">
      <c r="G82" s="4">
        <v>1630</v>
      </c>
      <c r="H82" s="4">
        <v>1542</v>
      </c>
    </row>
    <row r="83" spans="7:8" x14ac:dyDescent="0.25">
      <c r="G83" s="4">
        <v>1640</v>
      </c>
      <c r="H83" s="4">
        <v>1548</v>
      </c>
    </row>
    <row r="84" spans="7:8" x14ac:dyDescent="0.25">
      <c r="G84" s="4">
        <v>1650</v>
      </c>
      <c r="H84" s="4">
        <v>1554</v>
      </c>
    </row>
    <row r="85" spans="7:8" x14ac:dyDescent="0.25">
      <c r="G85" s="4">
        <v>1660</v>
      </c>
      <c r="H85" s="4">
        <v>1559</v>
      </c>
    </row>
    <row r="86" spans="7:8" x14ac:dyDescent="0.25">
      <c r="G86" s="4">
        <v>1670</v>
      </c>
      <c r="H86" s="4">
        <v>1565</v>
      </c>
    </row>
    <row r="87" spans="7:8" x14ac:dyDescent="0.25">
      <c r="G87" s="4">
        <v>1680</v>
      </c>
      <c r="H87" s="4">
        <v>1571</v>
      </c>
    </row>
    <row r="88" spans="7:8" x14ac:dyDescent="0.25">
      <c r="G88" s="4">
        <v>1690</v>
      </c>
      <c r="H88" s="4">
        <v>1577</v>
      </c>
    </row>
    <row r="89" spans="7:8" x14ac:dyDescent="0.25">
      <c r="G89" s="4">
        <v>1700</v>
      </c>
      <c r="H89" s="4">
        <v>1582</v>
      </c>
    </row>
    <row r="90" spans="7:8" x14ac:dyDescent="0.25">
      <c r="G90" s="4">
        <v>1710</v>
      </c>
      <c r="H90" s="4">
        <v>1588</v>
      </c>
    </row>
    <row r="91" spans="7:8" x14ac:dyDescent="0.25">
      <c r="G91" s="4">
        <v>1720</v>
      </c>
      <c r="H91" s="4">
        <v>1593</v>
      </c>
    </row>
    <row r="92" spans="7:8" x14ac:dyDescent="0.25">
      <c r="G92" s="4">
        <v>1730</v>
      </c>
      <c r="H92" s="4">
        <v>1599</v>
      </c>
    </row>
    <row r="93" spans="7:8" x14ac:dyDescent="0.25">
      <c r="G93" s="4">
        <v>1740</v>
      </c>
      <c r="H93" s="4">
        <v>1605</v>
      </c>
    </row>
    <row r="94" spans="7:8" x14ac:dyDescent="0.25">
      <c r="G94" s="4">
        <v>1750</v>
      </c>
      <c r="H94" s="4">
        <v>1610</v>
      </c>
    </row>
    <row r="95" spans="7:8" x14ac:dyDescent="0.25">
      <c r="G95" s="4">
        <v>1760</v>
      </c>
      <c r="H95" s="4">
        <v>1616</v>
      </c>
    </row>
    <row r="96" spans="7:8" x14ac:dyDescent="0.25">
      <c r="G96" s="4">
        <v>1770</v>
      </c>
      <c r="H96" s="4">
        <v>1622</v>
      </c>
    </row>
    <row r="97" spans="7:8" x14ac:dyDescent="0.25">
      <c r="G97" s="4">
        <v>1780</v>
      </c>
      <c r="H97" s="4">
        <v>1628</v>
      </c>
    </row>
    <row r="98" spans="7:8" x14ac:dyDescent="0.25">
      <c r="G98" s="4">
        <v>1790</v>
      </c>
      <c r="H98" s="4">
        <v>1633</v>
      </c>
    </row>
    <row r="99" spans="7:8" x14ac:dyDescent="0.25">
      <c r="G99" s="4">
        <v>1800</v>
      </c>
      <c r="H99" s="4">
        <v>1639</v>
      </c>
    </row>
    <row r="100" spans="7:8" x14ac:dyDescent="0.25">
      <c r="G100" s="4">
        <v>1810</v>
      </c>
      <c r="H100" s="4">
        <v>1645</v>
      </c>
    </row>
    <row r="101" spans="7:8" x14ac:dyDescent="0.25">
      <c r="G101" s="4">
        <v>1820</v>
      </c>
      <c r="H101" s="4">
        <v>1650</v>
      </c>
    </row>
    <row r="102" spans="7:8" x14ac:dyDescent="0.25">
      <c r="G102" s="4">
        <v>1830</v>
      </c>
      <c r="H102" s="4">
        <v>1656</v>
      </c>
    </row>
    <row r="103" spans="7:8" x14ac:dyDescent="0.25">
      <c r="G103" s="4">
        <v>1840</v>
      </c>
      <c r="H103" s="4">
        <v>1662</v>
      </c>
    </row>
    <row r="104" spans="7:8" x14ac:dyDescent="0.25">
      <c r="G104" s="4">
        <v>1850</v>
      </c>
      <c r="H104" s="4">
        <v>1668</v>
      </c>
    </row>
    <row r="105" spans="7:8" x14ac:dyDescent="0.25">
      <c r="G105" s="4">
        <v>1860</v>
      </c>
      <c r="H105" s="4">
        <v>1674</v>
      </c>
    </row>
    <row r="106" spans="7:8" x14ac:dyDescent="0.25">
      <c r="G106" s="4">
        <v>1870</v>
      </c>
      <c r="H106" s="4">
        <v>1680</v>
      </c>
    </row>
    <row r="107" spans="7:8" x14ac:dyDescent="0.25">
      <c r="G107" s="4">
        <v>1880</v>
      </c>
      <c r="H107" s="4">
        <v>1686</v>
      </c>
    </row>
    <row r="108" spans="7:8" x14ac:dyDescent="0.25">
      <c r="G108" s="4">
        <v>1890</v>
      </c>
      <c r="H108" s="4">
        <v>1692</v>
      </c>
    </row>
    <row r="109" spans="7:8" x14ac:dyDescent="0.25">
      <c r="G109" s="4">
        <v>1900</v>
      </c>
      <c r="H109" s="4">
        <v>1698</v>
      </c>
    </row>
    <row r="110" spans="7:8" x14ac:dyDescent="0.25">
      <c r="G110" s="4">
        <v>1910</v>
      </c>
      <c r="H110" s="4">
        <v>1704</v>
      </c>
    </row>
    <row r="111" spans="7:8" x14ac:dyDescent="0.25">
      <c r="G111" s="4">
        <v>1920</v>
      </c>
      <c r="H111" s="4">
        <v>1709</v>
      </c>
    </row>
    <row r="112" spans="7:8" x14ac:dyDescent="0.25">
      <c r="G112" s="4">
        <v>1930</v>
      </c>
      <c r="H112" s="4">
        <v>1715</v>
      </c>
    </row>
    <row r="113" spans="7:8" x14ac:dyDescent="0.25">
      <c r="G113" s="4">
        <v>1940</v>
      </c>
      <c r="H113" s="4">
        <v>1721</v>
      </c>
    </row>
    <row r="114" spans="7:8" x14ac:dyDescent="0.25">
      <c r="G114" s="4">
        <v>1950</v>
      </c>
      <c r="H114" s="4">
        <v>1726</v>
      </c>
    </row>
    <row r="115" spans="7:8" x14ac:dyDescent="0.25">
      <c r="G115" s="4">
        <v>1960</v>
      </c>
      <c r="H115" s="4">
        <v>1732</v>
      </c>
    </row>
    <row r="116" spans="7:8" x14ac:dyDescent="0.25">
      <c r="G116" s="4">
        <v>1970</v>
      </c>
      <c r="H116" s="4">
        <v>1737</v>
      </c>
    </row>
    <row r="117" spans="7:8" x14ac:dyDescent="0.25">
      <c r="G117" s="4">
        <v>1980</v>
      </c>
      <c r="H117" s="4">
        <v>1743</v>
      </c>
    </row>
    <row r="118" spans="7:8" x14ac:dyDescent="0.25">
      <c r="G118" s="4">
        <v>1990</v>
      </c>
      <c r="H118" s="4">
        <v>1748</v>
      </c>
    </row>
    <row r="119" spans="7:8" x14ac:dyDescent="0.25">
      <c r="G119" s="4">
        <v>2000</v>
      </c>
      <c r="H119" s="4">
        <v>1754</v>
      </c>
    </row>
    <row r="120" spans="7:8" x14ac:dyDescent="0.25">
      <c r="G120" s="4">
        <v>2010</v>
      </c>
      <c r="H120" s="4">
        <v>1759</v>
      </c>
    </row>
    <row r="121" spans="7:8" x14ac:dyDescent="0.25">
      <c r="G121" s="4">
        <v>2020</v>
      </c>
      <c r="H121" s="4">
        <v>1764</v>
      </c>
    </row>
    <row r="122" spans="7:8" x14ac:dyDescent="0.25">
      <c r="G122" s="4">
        <v>2030</v>
      </c>
      <c r="H122" s="4">
        <v>1769</v>
      </c>
    </row>
    <row r="123" spans="7:8" x14ac:dyDescent="0.25">
      <c r="G123" s="4">
        <v>2040</v>
      </c>
      <c r="H123" s="4">
        <v>1774</v>
      </c>
    </row>
    <row r="124" spans="7:8" x14ac:dyDescent="0.25">
      <c r="G124" s="4">
        <v>2050</v>
      </c>
      <c r="H124" s="4">
        <v>1778</v>
      </c>
    </row>
    <row r="125" spans="7:8" x14ac:dyDescent="0.25">
      <c r="G125" s="4">
        <v>2060</v>
      </c>
      <c r="H125" s="4">
        <v>1782</v>
      </c>
    </row>
    <row r="126" spans="7:8" x14ac:dyDescent="0.25">
      <c r="G126" s="4">
        <v>2070</v>
      </c>
      <c r="H126" s="4">
        <v>1786</v>
      </c>
    </row>
    <row r="127" spans="7:8" x14ac:dyDescent="0.25">
      <c r="G127" s="4">
        <v>2080</v>
      </c>
      <c r="H127" s="4">
        <v>1790</v>
      </c>
    </row>
    <row r="128" spans="7:8" x14ac:dyDescent="0.25">
      <c r="G128" s="4">
        <v>2090</v>
      </c>
      <c r="H128" s="4">
        <v>1794</v>
      </c>
    </row>
    <row r="129" spans="7:8" x14ac:dyDescent="0.25">
      <c r="G129" s="4">
        <v>2100</v>
      </c>
      <c r="H129" s="4">
        <v>1798</v>
      </c>
    </row>
    <row r="130" spans="7:8" x14ac:dyDescent="0.25">
      <c r="G130" s="4">
        <v>2110</v>
      </c>
      <c r="H130" s="4">
        <v>1802</v>
      </c>
    </row>
    <row r="131" spans="7:8" x14ac:dyDescent="0.25">
      <c r="G131" s="4">
        <v>2120</v>
      </c>
      <c r="H131" s="4">
        <v>1807</v>
      </c>
    </row>
    <row r="132" spans="7:8" x14ac:dyDescent="0.25">
      <c r="G132" s="4">
        <v>2130</v>
      </c>
      <c r="H132" s="4">
        <v>1811</v>
      </c>
    </row>
    <row r="133" spans="7:8" x14ac:dyDescent="0.25">
      <c r="G133" s="4">
        <v>2140</v>
      </c>
      <c r="H133" s="4">
        <v>1815</v>
      </c>
    </row>
    <row r="134" spans="7:8" x14ac:dyDescent="0.25">
      <c r="G134" s="4">
        <v>2150</v>
      </c>
      <c r="H134" s="4">
        <v>1819</v>
      </c>
    </row>
    <row r="135" spans="7:8" x14ac:dyDescent="0.25">
      <c r="G135" s="4">
        <v>2160</v>
      </c>
      <c r="H135" s="4">
        <v>1823</v>
      </c>
    </row>
    <row r="136" spans="7:8" x14ac:dyDescent="0.25">
      <c r="G136" s="4">
        <v>2170</v>
      </c>
      <c r="H136" s="4">
        <v>1827</v>
      </c>
    </row>
    <row r="137" spans="7:8" x14ac:dyDescent="0.25">
      <c r="G137" s="4">
        <v>2180</v>
      </c>
      <c r="H137" s="4">
        <v>1831</v>
      </c>
    </row>
    <row r="138" spans="7:8" x14ac:dyDescent="0.25">
      <c r="G138" s="4">
        <v>2190</v>
      </c>
      <c r="H138" s="4">
        <v>1834</v>
      </c>
    </row>
    <row r="139" spans="7:8" x14ac:dyDescent="0.25">
      <c r="G139" s="4">
        <v>2200</v>
      </c>
      <c r="H139" s="4">
        <v>1838</v>
      </c>
    </row>
    <row r="140" spans="7:8" x14ac:dyDescent="0.25">
      <c r="G140" s="4">
        <v>2210</v>
      </c>
      <c r="H140" s="4">
        <v>1842</v>
      </c>
    </row>
    <row r="141" spans="7:8" x14ac:dyDescent="0.25">
      <c r="G141" s="4">
        <v>2220</v>
      </c>
      <c r="H141" s="4">
        <v>1846</v>
      </c>
    </row>
    <row r="142" spans="7:8" x14ac:dyDescent="0.25">
      <c r="G142" s="4">
        <v>2230</v>
      </c>
      <c r="H142" s="4">
        <v>1849</v>
      </c>
    </row>
    <row r="143" spans="7:8" x14ac:dyDescent="0.25">
      <c r="G143" s="4">
        <v>2240</v>
      </c>
      <c r="H143" s="4">
        <v>1853</v>
      </c>
    </row>
    <row r="144" spans="7:8" x14ac:dyDescent="0.25">
      <c r="G144" s="4">
        <v>2250</v>
      </c>
      <c r="H144" s="4">
        <v>1855</v>
      </c>
    </row>
    <row r="145" spans="7:8" x14ac:dyDescent="0.25">
      <c r="G145" s="4">
        <v>2260</v>
      </c>
      <c r="H145" s="4">
        <v>1858</v>
      </c>
    </row>
    <row r="146" spans="7:8" x14ac:dyDescent="0.25">
      <c r="G146" s="4">
        <v>2270</v>
      </c>
      <c r="H146" s="4">
        <v>1861</v>
      </c>
    </row>
    <row r="147" spans="7:8" x14ac:dyDescent="0.25">
      <c r="G147" s="4">
        <v>2280</v>
      </c>
      <c r="H147" s="4">
        <v>1864</v>
      </c>
    </row>
    <row r="148" spans="7:8" x14ac:dyDescent="0.25">
      <c r="G148" s="4">
        <v>2290</v>
      </c>
      <c r="H148" s="4">
        <v>1866</v>
      </c>
    </row>
    <row r="149" spans="7:8" x14ac:dyDescent="0.25">
      <c r="G149" s="4">
        <v>2300</v>
      </c>
      <c r="H149" s="4">
        <v>1869</v>
      </c>
    </row>
    <row r="150" spans="7:8" x14ac:dyDescent="0.25">
      <c r="G150" s="4">
        <v>2310</v>
      </c>
      <c r="H150" s="4">
        <v>1871</v>
      </c>
    </row>
    <row r="151" spans="7:8" x14ac:dyDescent="0.25">
      <c r="G151" s="4">
        <v>2320</v>
      </c>
      <c r="H151" s="4">
        <v>1873</v>
      </c>
    </row>
    <row r="152" spans="7:8" x14ac:dyDescent="0.25">
      <c r="G152" s="4">
        <v>2330</v>
      </c>
      <c r="H152" s="4">
        <v>1875</v>
      </c>
    </row>
    <row r="153" spans="7:8" x14ac:dyDescent="0.25">
      <c r="G153" s="4">
        <v>2340</v>
      </c>
      <c r="H153" s="4">
        <v>1877</v>
      </c>
    </row>
    <row r="154" spans="7:8" x14ac:dyDescent="0.25">
      <c r="G154" s="4">
        <v>2350</v>
      </c>
      <c r="H154" s="4">
        <v>1878</v>
      </c>
    </row>
    <row r="155" spans="7:8" x14ac:dyDescent="0.25">
      <c r="G155" s="4">
        <v>2360</v>
      </c>
      <c r="H155" s="4">
        <v>1880</v>
      </c>
    </row>
    <row r="156" spans="7:8" x14ac:dyDescent="0.25">
      <c r="G156" s="4">
        <v>2370</v>
      </c>
      <c r="H156" s="4">
        <v>1882</v>
      </c>
    </row>
    <row r="157" spans="7:8" x14ac:dyDescent="0.25">
      <c r="G157" s="4">
        <v>2380</v>
      </c>
      <c r="H157" s="4">
        <v>1883</v>
      </c>
    </row>
    <row r="158" spans="7:8" x14ac:dyDescent="0.25">
      <c r="G158" s="4">
        <v>2390</v>
      </c>
      <c r="H158" s="4">
        <v>1884</v>
      </c>
    </row>
    <row r="159" spans="7:8" x14ac:dyDescent="0.25">
      <c r="G159" s="4">
        <v>2400</v>
      </c>
      <c r="H159" s="4">
        <v>1884</v>
      </c>
    </row>
    <row r="160" spans="7:8" x14ac:dyDescent="0.25">
      <c r="G160" s="4">
        <v>2410</v>
      </c>
      <c r="H160" s="4">
        <v>1884</v>
      </c>
    </row>
    <row r="161" spans="7:8" x14ac:dyDescent="0.25">
      <c r="G161" s="4">
        <v>2420</v>
      </c>
      <c r="H161" s="4">
        <v>1884</v>
      </c>
    </row>
    <row r="162" spans="7:8" x14ac:dyDescent="0.25">
      <c r="G162" s="4">
        <v>2430</v>
      </c>
      <c r="H162" s="4">
        <v>1884</v>
      </c>
    </row>
    <row r="163" spans="7:8" x14ac:dyDescent="0.25">
      <c r="G163" s="4">
        <v>2440</v>
      </c>
      <c r="H163" s="4">
        <v>1885</v>
      </c>
    </row>
    <row r="164" spans="7:8" x14ac:dyDescent="0.25">
      <c r="G164" s="4">
        <v>2450</v>
      </c>
      <c r="H164" s="4">
        <v>1886</v>
      </c>
    </row>
    <row r="165" spans="7:8" x14ac:dyDescent="0.25">
      <c r="G165" s="4">
        <v>2460</v>
      </c>
      <c r="H165" s="4">
        <v>1887</v>
      </c>
    </row>
    <row r="166" spans="7:8" x14ac:dyDescent="0.25">
      <c r="G166" s="4">
        <v>2470</v>
      </c>
      <c r="H166" s="4">
        <v>1888</v>
      </c>
    </row>
    <row r="167" spans="7:8" x14ac:dyDescent="0.25">
      <c r="G167" s="4">
        <v>2480</v>
      </c>
      <c r="H167" s="4">
        <v>1889</v>
      </c>
    </row>
    <row r="168" spans="7:8" x14ac:dyDescent="0.25">
      <c r="G168" s="4">
        <v>2490</v>
      </c>
      <c r="H168" s="4">
        <v>1889</v>
      </c>
    </row>
    <row r="169" spans="7:8" x14ac:dyDescent="0.25">
      <c r="G169" s="4">
        <v>2500</v>
      </c>
      <c r="H169" s="4">
        <v>1890</v>
      </c>
    </row>
    <row r="170" spans="7:8" x14ac:dyDescent="0.25">
      <c r="G170" s="4">
        <v>2510</v>
      </c>
      <c r="H170" s="4">
        <v>1890</v>
      </c>
    </row>
    <row r="171" spans="7:8" x14ac:dyDescent="0.25">
      <c r="G171" s="4">
        <v>2520</v>
      </c>
      <c r="H171" s="4">
        <v>1890</v>
      </c>
    </row>
    <row r="172" spans="7:8" x14ac:dyDescent="0.25">
      <c r="G172" s="4">
        <v>2530</v>
      </c>
      <c r="H172" s="4">
        <v>1890</v>
      </c>
    </row>
    <row r="173" spans="7:8" x14ac:dyDescent="0.25">
      <c r="G173" s="4">
        <v>2540</v>
      </c>
      <c r="H173" s="4">
        <v>1889</v>
      </c>
    </row>
    <row r="174" spans="7:8" x14ac:dyDescent="0.25">
      <c r="G174" s="4">
        <v>2550</v>
      </c>
      <c r="H174" s="4">
        <v>1889</v>
      </c>
    </row>
    <row r="175" spans="7:8" x14ac:dyDescent="0.25">
      <c r="G175" s="4">
        <v>2560</v>
      </c>
      <c r="H175" s="4">
        <v>1889</v>
      </c>
    </row>
    <row r="176" spans="7:8" x14ac:dyDescent="0.25">
      <c r="G176" s="4">
        <v>2570</v>
      </c>
      <c r="H176" s="4">
        <v>1889</v>
      </c>
    </row>
    <row r="177" spans="7:8" x14ac:dyDescent="0.25">
      <c r="G177" s="4">
        <v>2580</v>
      </c>
      <c r="H177" s="4">
        <v>1889</v>
      </c>
    </row>
    <row r="178" spans="7:8" x14ac:dyDescent="0.25">
      <c r="G178" s="4">
        <v>2590</v>
      </c>
      <c r="H178" s="4">
        <v>1890</v>
      </c>
    </row>
    <row r="179" spans="7:8" x14ac:dyDescent="0.25">
      <c r="G179" s="4">
        <v>2600</v>
      </c>
      <c r="H179" s="4">
        <v>1890</v>
      </c>
    </row>
    <row r="180" spans="7:8" x14ac:dyDescent="0.25">
      <c r="G180" s="4">
        <v>2610</v>
      </c>
      <c r="H180" s="4">
        <v>1890</v>
      </c>
    </row>
    <row r="181" spans="7:8" x14ac:dyDescent="0.25">
      <c r="G181" s="4">
        <v>2620</v>
      </c>
      <c r="H181" s="4">
        <v>1890</v>
      </c>
    </row>
    <row r="182" spans="7:8" x14ac:dyDescent="0.25">
      <c r="G182" s="4">
        <v>2630</v>
      </c>
      <c r="H182" s="4">
        <v>1890</v>
      </c>
    </row>
    <row r="183" spans="7:8" x14ac:dyDescent="0.25">
      <c r="G183" s="4">
        <v>2640</v>
      </c>
      <c r="H183" s="4">
        <v>1890</v>
      </c>
    </row>
    <row r="184" spans="7:8" x14ac:dyDescent="0.25">
      <c r="G184" s="4">
        <v>2650</v>
      </c>
      <c r="H184" s="4">
        <v>1890</v>
      </c>
    </row>
    <row r="185" spans="7:8" x14ac:dyDescent="0.25">
      <c r="G185" s="4">
        <v>2660</v>
      </c>
      <c r="H185" s="4">
        <v>1890</v>
      </c>
    </row>
    <row r="186" spans="7:8" x14ac:dyDescent="0.25">
      <c r="G186" s="4">
        <v>2670</v>
      </c>
      <c r="H186" s="4">
        <v>1890</v>
      </c>
    </row>
    <row r="187" spans="7:8" x14ac:dyDescent="0.25">
      <c r="G187" s="4">
        <v>2680</v>
      </c>
      <c r="H187" s="4">
        <v>1890</v>
      </c>
    </row>
    <row r="188" spans="7:8" x14ac:dyDescent="0.25">
      <c r="G188" s="4">
        <v>2690</v>
      </c>
      <c r="H188" s="4">
        <v>1889</v>
      </c>
    </row>
    <row r="189" spans="7:8" x14ac:dyDescent="0.25">
      <c r="G189" s="4">
        <v>2700</v>
      </c>
      <c r="H189" s="4">
        <v>1889</v>
      </c>
    </row>
    <row r="190" spans="7:8" x14ac:dyDescent="0.25">
      <c r="G190" s="4">
        <v>2710</v>
      </c>
      <c r="H190" s="4">
        <v>1889</v>
      </c>
    </row>
    <row r="191" spans="7:8" x14ac:dyDescent="0.25">
      <c r="G191" s="4">
        <v>2720</v>
      </c>
      <c r="H191" s="4">
        <v>1889</v>
      </c>
    </row>
    <row r="192" spans="7:8" x14ac:dyDescent="0.25">
      <c r="G192" s="4">
        <v>2730</v>
      </c>
      <c r="H192" s="4">
        <v>1889</v>
      </c>
    </row>
    <row r="193" spans="7:8" x14ac:dyDescent="0.25">
      <c r="G193" s="4">
        <v>2740</v>
      </c>
      <c r="H193" s="4">
        <v>1889</v>
      </c>
    </row>
    <row r="194" spans="7:8" x14ac:dyDescent="0.25">
      <c r="G194" s="4">
        <v>2750</v>
      </c>
      <c r="H194" s="4">
        <v>1890</v>
      </c>
    </row>
    <row r="195" spans="7:8" x14ac:dyDescent="0.25">
      <c r="G195" s="4">
        <v>2760</v>
      </c>
      <c r="H195" s="4">
        <v>1890</v>
      </c>
    </row>
    <row r="196" spans="7:8" x14ac:dyDescent="0.25">
      <c r="G196" s="4">
        <v>2770</v>
      </c>
      <c r="H196" s="4">
        <v>1890</v>
      </c>
    </row>
    <row r="197" spans="7:8" x14ac:dyDescent="0.25">
      <c r="G197" s="4">
        <v>2780</v>
      </c>
      <c r="H197" s="4">
        <v>1890</v>
      </c>
    </row>
    <row r="198" spans="7:8" x14ac:dyDescent="0.25">
      <c r="G198" s="4">
        <v>2790</v>
      </c>
      <c r="H198" s="4">
        <v>1890</v>
      </c>
    </row>
    <row r="199" spans="7:8" x14ac:dyDescent="0.25">
      <c r="G199" s="4">
        <v>2800</v>
      </c>
      <c r="H199" s="4">
        <v>1890</v>
      </c>
    </row>
    <row r="200" spans="7:8" x14ac:dyDescent="0.25">
      <c r="G200" s="4">
        <v>2810</v>
      </c>
      <c r="H200" s="4">
        <v>1890</v>
      </c>
    </row>
    <row r="201" spans="7:8" x14ac:dyDescent="0.25">
      <c r="G201" s="4">
        <v>2820</v>
      </c>
      <c r="H201" s="4">
        <v>1890</v>
      </c>
    </row>
    <row r="202" spans="7:8" x14ac:dyDescent="0.25">
      <c r="G202" s="4">
        <v>2830</v>
      </c>
      <c r="H202" s="4">
        <v>1890</v>
      </c>
    </row>
    <row r="203" spans="7:8" x14ac:dyDescent="0.25">
      <c r="G203" s="4">
        <v>2840</v>
      </c>
      <c r="H203" s="4">
        <v>1889</v>
      </c>
    </row>
    <row r="204" spans="7:8" x14ac:dyDescent="0.25">
      <c r="G204" s="4">
        <v>2850</v>
      </c>
      <c r="H204" s="4">
        <v>1889</v>
      </c>
    </row>
    <row r="205" spans="7:8" x14ac:dyDescent="0.25">
      <c r="G205" s="4">
        <v>2860</v>
      </c>
      <c r="H205" s="4">
        <v>1889</v>
      </c>
    </row>
    <row r="206" spans="7:8" x14ac:dyDescent="0.25">
      <c r="G206" s="4">
        <v>2870</v>
      </c>
      <c r="H206" s="4">
        <v>1889</v>
      </c>
    </row>
    <row r="207" spans="7:8" x14ac:dyDescent="0.25">
      <c r="G207" s="4">
        <v>2880</v>
      </c>
      <c r="H207" s="4">
        <v>1889</v>
      </c>
    </row>
    <row r="208" spans="7:8" x14ac:dyDescent="0.25">
      <c r="G208" s="4">
        <v>2890</v>
      </c>
      <c r="H208" s="4">
        <v>1889</v>
      </c>
    </row>
    <row r="209" spans="7:8" x14ac:dyDescent="0.25">
      <c r="G209" s="4">
        <v>2900</v>
      </c>
      <c r="H209" s="4">
        <v>1889</v>
      </c>
    </row>
    <row r="210" spans="7:8" x14ac:dyDescent="0.25">
      <c r="G210" s="4">
        <v>2910</v>
      </c>
      <c r="H210" s="4">
        <v>1889</v>
      </c>
    </row>
    <row r="211" spans="7:8" x14ac:dyDescent="0.25">
      <c r="G211" s="4">
        <v>2920</v>
      </c>
      <c r="H211" s="4">
        <v>1889</v>
      </c>
    </row>
    <row r="212" spans="7:8" x14ac:dyDescent="0.25">
      <c r="G212" s="4">
        <v>2930</v>
      </c>
      <c r="H212" s="4">
        <v>1889</v>
      </c>
    </row>
    <row r="213" spans="7:8" x14ac:dyDescent="0.25">
      <c r="G213" s="4">
        <v>2940</v>
      </c>
      <c r="H213" s="4">
        <v>1889</v>
      </c>
    </row>
    <row r="214" spans="7:8" x14ac:dyDescent="0.25">
      <c r="G214" s="4">
        <v>2950</v>
      </c>
      <c r="H214" s="4">
        <v>1889</v>
      </c>
    </row>
    <row r="215" spans="7:8" x14ac:dyDescent="0.25">
      <c r="G215" s="4">
        <v>2957</v>
      </c>
      <c r="H215" s="4">
        <v>1889</v>
      </c>
    </row>
  </sheetData>
  <mergeCells count="8">
    <mergeCell ref="B27:D27"/>
    <mergeCell ref="B13:D13"/>
    <mergeCell ref="B32:D32"/>
    <mergeCell ref="B35:D35"/>
    <mergeCell ref="G2:H2"/>
    <mergeCell ref="B2:D2"/>
    <mergeCell ref="B18:D18"/>
    <mergeCell ref="B23:D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30</vt:i4>
      </vt:variant>
    </vt:vector>
  </HeadingPairs>
  <TitlesOfParts>
    <vt:vector size="31" baseType="lpstr">
      <vt:lpstr>Search_P_wf</vt:lpstr>
      <vt:lpstr>bob_m3m3</vt:lpstr>
      <vt:lpstr>D</vt:lpstr>
      <vt:lpstr>d_glv</vt:lpstr>
      <vt:lpstr>d_in</vt:lpstr>
      <vt:lpstr>d_out</vt:lpstr>
      <vt:lpstr>Din.с</vt:lpstr>
      <vt:lpstr>dout</vt:lpstr>
      <vt:lpstr>flow_correlation</vt:lpstr>
      <vt:lpstr>fw_perc</vt:lpstr>
      <vt:lpstr>gamma_g</vt:lpstr>
      <vt:lpstr>gamma_gas</vt:lpstr>
      <vt:lpstr>gamma_oil</vt:lpstr>
      <vt:lpstr>gamma_wat</vt:lpstr>
      <vt:lpstr>h_bush</vt:lpstr>
      <vt:lpstr>h_gk</vt:lpstr>
      <vt:lpstr>h_list</vt:lpstr>
      <vt:lpstr>muob_cP</vt:lpstr>
      <vt:lpstr>p_gg_atma</vt:lpstr>
      <vt:lpstr>p_res_atma</vt:lpstr>
      <vt:lpstr>p_wh_atma</vt:lpstr>
      <vt:lpstr>pb_atma</vt:lpstr>
      <vt:lpstr>pi_sm3dayatma</vt:lpstr>
      <vt:lpstr>PVT_corr_set</vt:lpstr>
      <vt:lpstr>Q_inj</vt:lpstr>
      <vt:lpstr>Q_sm3day</vt:lpstr>
      <vt:lpstr>rp_m3m3</vt:lpstr>
      <vt:lpstr>rsb_m3m3</vt:lpstr>
      <vt:lpstr>t_C</vt:lpstr>
      <vt:lpstr>t_res_C</vt:lpstr>
      <vt:lpstr>t_suf_C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2023-10-26T13:46:49Z</dcterms:modified>
</cp:coreProperties>
</file>