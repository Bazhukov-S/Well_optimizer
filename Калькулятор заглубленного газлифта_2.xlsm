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Work\Well_calc_optim\Well_optimizer\"/>
    </mc:Choice>
  </mc:AlternateContent>
  <xr:revisionPtr revIDLastSave="0" documentId="13_ncr:1_{7A81BA05-C622-4BB9-A90D-0B6A25A570A8}" xr6:coauthVersionLast="47" xr6:coauthVersionMax="47" xr10:uidLastSave="{00000000-0000-0000-0000-000000000000}"/>
  <bookViews>
    <workbookView xWindow="-105" yWindow="0" windowWidth="19410" windowHeight="20985" tabRatio="706" firstSheet="1" activeTab="5" xr2:uid="{7E9D2414-774A-4A2B-9A6A-149DA8289077}"/>
  </bookViews>
  <sheets>
    <sheet name="Лист1" sheetId="1" r:id="rId1"/>
    <sheet name="Лист3" sheetId="3" r:id="rId2"/>
    <sheet name="Расчет сверху" sheetId="4" r:id="rId3"/>
    <sheet name="Calc_func" sheetId="5" r:id="rId4"/>
    <sheet name="inclinom_wells" sheetId="7" r:id="rId5"/>
    <sheet name="test_calc" sheetId="6" r:id="rId6"/>
  </sheets>
  <functionGroups builtInGroupCount="19"/>
  <externalReferences>
    <externalReference r:id="rId7"/>
  </externalReferences>
  <definedNames>
    <definedName name="Bob_cal">test_calc!$H$25</definedName>
    <definedName name="calibr_gas" localSheetId="2">'Расчет сверху'!$F$50</definedName>
    <definedName name="calibr_gas">Лист3!$F$50</definedName>
    <definedName name="calibr_oil" localSheetId="2">'Расчет сверху'!$F$49</definedName>
    <definedName name="calibr_oil">Лист3!$F$49</definedName>
    <definedName name="choke_p" localSheetId="2">'Расчет сверху'!$Z$144</definedName>
    <definedName name="choke_p">Лист3!$Z$144</definedName>
    <definedName name="CONSTR" localSheetId="2">'Расчет сверху'!$L$78</definedName>
    <definedName name="CONSTR">Лист3!$L$78</definedName>
    <definedName name="d_GLV" localSheetId="2">'Расчет сверху'!$C$51</definedName>
    <definedName name="d_GLV">Лист3!$C$51</definedName>
    <definedName name="dcas" localSheetId="2">'Расчет сверху'!$C$46</definedName>
    <definedName name="dcas">Лист3!$C$46</definedName>
    <definedName name="dchoke" localSheetId="2">'Расчет сверху'!$C$49</definedName>
    <definedName name="dchoke">Лист3!$C$49</definedName>
    <definedName name="dchoke_cas" localSheetId="2">'Расчет сверху'!$C$50</definedName>
    <definedName name="dchoke_cas">Лист3!$C$50</definedName>
    <definedName name="dgas_tub" localSheetId="2">'Расчет сверху'!$C$48</definedName>
    <definedName name="dgas_tub">Лист3!$C$48</definedName>
    <definedName name="dtub" localSheetId="2">'Расчет сверху'!$C$47</definedName>
    <definedName name="dtub">Лист3!$C$47</definedName>
    <definedName name="f_sep" localSheetId="2">'Расчет сверху'!$C$29</definedName>
    <definedName name="f_sep">Лист3!$C$29</definedName>
    <definedName name="feed_json" localSheetId="2">'Расчет сверху'!#REF!</definedName>
    <definedName name="feed_json">Лист3!#REF!</definedName>
    <definedName name="feed_json_1" localSheetId="2">'Расчет сверху'!#REF!</definedName>
    <definedName name="feed_json_1">Лист3!#REF!</definedName>
    <definedName name="feed_json_2">'Расчет сверху'!$R$75</definedName>
    <definedName name="gamma_gas">test_calc!$D$25</definedName>
    <definedName name="gamma_gas_" localSheetId="3">Calc_func!$C$13</definedName>
    <definedName name="gamma_gas_" localSheetId="5">test_calc!$C$37</definedName>
    <definedName name="gamma_gas_" localSheetId="1">Лист3!$C$13</definedName>
    <definedName name="gamma_gas_" localSheetId="2">'Расчет сверху'!$C$13</definedName>
    <definedName name="gamma_oil">test_calc!$B$25</definedName>
    <definedName name="gamma_oil_" localSheetId="3">Calc_func!$C$11</definedName>
    <definedName name="gamma_oil_" localSheetId="5">test_calc!$C$35</definedName>
    <definedName name="gamma_oil_" localSheetId="1">Лист3!$C$11</definedName>
    <definedName name="gamma_oil_" localSheetId="2">'Расчет сверху'!$C$11</definedName>
    <definedName name="gamma_wat_" localSheetId="3">Calc_func!$C$12</definedName>
    <definedName name="gamma_wat_" localSheetId="5">test_calc!$C$36</definedName>
    <definedName name="gamma_wat_" localSheetId="1">Лист3!$C$12</definedName>
    <definedName name="gamma_wat_" localSheetId="2">'Расчет сверху'!$C$12</definedName>
    <definedName name="gamma_water">test_calc!$C$25</definedName>
    <definedName name="Hgas_inj" localSheetId="2">'Расчет сверху'!$C$45</definedName>
    <definedName name="Hgas_inj">Лист3!$C$45</definedName>
    <definedName name="Hpaker" localSheetId="2">'Расчет сверху'!$C$44</definedName>
    <definedName name="Hpaker">Лист3!$C$44</definedName>
    <definedName name="Hperf" localSheetId="2">'Расчет сверху'!$C$43</definedName>
    <definedName name="Hperf">Лист3!$C$43</definedName>
    <definedName name="INCL" localSheetId="2">'Расчет сверху'!$L$77</definedName>
    <definedName name="INCL">Лист3!$L$77</definedName>
    <definedName name="npt" localSheetId="2">'Расчет сверху'!$E$55</definedName>
    <definedName name="npt">Лист3!$E$55</definedName>
    <definedName name="P_GLV_out" localSheetId="2">'Расчет сверху'!$N$128</definedName>
    <definedName name="P_GLV_out">Лист3!$N$128</definedName>
    <definedName name="P_line_calc" localSheetId="2">'Расчет сверху'!$Z$148</definedName>
    <definedName name="P_line_calc">Лист3!$Z$148</definedName>
    <definedName name="P_res" localSheetId="2">'Расчет сверху'!$C$39</definedName>
    <definedName name="P_res">Лист3!$C$39</definedName>
    <definedName name="p_wf_atma" localSheetId="2">'Расчет сверху'!#REF!</definedName>
    <definedName name="p_wf_atma">Лист3!#REF!</definedName>
    <definedName name="P_wh" localSheetId="2">'Расчет сверху'!$C$32</definedName>
    <definedName name="P_wh">Лист3!$C$32</definedName>
    <definedName name="Pannulus" localSheetId="2">'Расчет сверху'!$C$34</definedName>
    <definedName name="Pannulus">Лист3!$C$34</definedName>
    <definedName name="Pb_" localSheetId="3">Calc_func!$C$15</definedName>
    <definedName name="Pb_" localSheetId="5">test_calc!$C$39</definedName>
    <definedName name="Pb_" localSheetId="1">Лист3!$C$15</definedName>
    <definedName name="Pb_" localSheetId="2">'Расчет сверху'!$C$15</definedName>
    <definedName name="Pb_cal">test_calc!$F$25</definedName>
    <definedName name="Pbuf" localSheetId="2">'Расчет сверху'!$C$33</definedName>
    <definedName name="Pbuf">Лист3!$C$33</definedName>
    <definedName name="Pbuf_calc" localSheetId="2">'Расчет сверху'!$N$132</definedName>
    <definedName name="Pbuf_calc">Лист3!$Y$128</definedName>
    <definedName name="pcas_calc" localSheetId="2">'Расчет сверху'!$C$89</definedName>
    <definedName name="pcas_calc">Лист3!$C$89</definedName>
    <definedName name="Pgas_line" localSheetId="2">'Расчет сверху'!$C$35</definedName>
    <definedName name="Pgas_line">Лист3!$C$35</definedName>
    <definedName name="PGLV_in" localSheetId="2">'Расчет сверху'!$C$128</definedName>
    <definedName name="PGLV_in">Лист3!$C$128</definedName>
    <definedName name="pipe_construction" localSheetId="2">'Расчет сверху'!#REF!</definedName>
    <definedName name="pipe_construction">Лист3!#REF!</definedName>
    <definedName name="Prod_index" localSheetId="2">'Расчет сверху'!$C$40</definedName>
    <definedName name="Prod_index">Лист3!$C$40</definedName>
    <definedName name="pvt_corr">test_calc!$J$25</definedName>
    <definedName name="PVT_json" localSheetId="2">'Расчет сверху'!$C$21</definedName>
    <definedName name="PVT_json">Лист3!$C$21</definedName>
    <definedName name="PVT_json_1" localSheetId="2">'Расчет сверху'!#REF!</definedName>
    <definedName name="PVT_json_1">Лист3!#REF!</definedName>
    <definedName name="Q_gas_free" localSheetId="2">'Расчет сверху'!$C$28</definedName>
    <definedName name="Q_gas_free">Лист3!$C$28</definedName>
    <definedName name="q_gas_GLV" localSheetId="2">'Расчет сверху'!$C$132</definedName>
    <definedName name="q_gas_GLV">Лист3!$C$132</definedName>
    <definedName name="Qliq" localSheetId="2">'Расчет сверху'!$C$27</definedName>
    <definedName name="Qliq">Лист3!$C$27</definedName>
    <definedName name="Rsb">test_calc!$E$25</definedName>
    <definedName name="Rsb_" localSheetId="3">Calc_func!$C$14</definedName>
    <definedName name="Rsb_" localSheetId="5">test_calc!$C$38</definedName>
    <definedName name="Rsb_" localSheetId="1">Лист3!$C$14</definedName>
    <definedName name="Rsb_" localSheetId="2">'Расчет сверху'!$C$14</definedName>
    <definedName name="solver_adj" localSheetId="0" hidden="1">Лист1!$Y$49</definedName>
    <definedName name="solver_adj" localSheetId="1" hidden="1">Лист3!$C$27:$C$28</definedName>
    <definedName name="solver_adj" localSheetId="2" hidden="1">'Расчет сверху'!$C$27:$C$28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3</definedName>
    <definedName name="solver_eng" localSheetId="2" hidden="1">3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Лист1!$Y$49</definedName>
    <definedName name="solver_lhs1" localSheetId="1" hidden="1">Лист3!$C$28</definedName>
    <definedName name="solver_lhs1" localSheetId="2" hidden="1">'Расчет сверху'!$C$28</definedName>
    <definedName name="solver_lhs2" localSheetId="0" hidden="1">Лист1!$Y$49</definedName>
    <definedName name="solver_lhs2" localSheetId="1" hidden="1">Лист3!$C$28</definedName>
    <definedName name="solver_lhs2" localSheetId="2" hidden="1">'Расчет сверху'!$C$28</definedName>
    <definedName name="solver_lhs3" localSheetId="1" hidden="1">Лист3!$C$27</definedName>
    <definedName name="solver_lhs3" localSheetId="2" hidden="1">'Расчет сверху'!$C$27</definedName>
    <definedName name="solver_lhs4" localSheetId="1" hidden="1">Лист3!$C$27</definedName>
    <definedName name="solver_lhs4" localSheetId="2" hidden="1">'Расчет сверху'!$C$27</definedName>
    <definedName name="solver_lhs5" localSheetId="1" hidden="1">Лист3!$C$27</definedName>
    <definedName name="solver_lhs5" localSheetId="2" hidden="1">'Расчет сверху'!$C$27</definedName>
    <definedName name="solver_lhs6" localSheetId="1" hidden="1">Лист3!$C$27</definedName>
    <definedName name="solver_lhs6" localSheetId="2" hidden="1">'Расчет сверху'!$C$27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2</definedName>
    <definedName name="solver_num" localSheetId="1" hidden="1">4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Лист1!$AB$49</definedName>
    <definedName name="solver_opt" localSheetId="1" hidden="1">Лист3!$G$34</definedName>
    <definedName name="solver_opt" localSheetId="2" hidden="1">'Расчет сверху'!$G$34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2" localSheetId="0" hidden="1">3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hs1" localSheetId="0" hidden="1">10000</definedName>
    <definedName name="solver_rhs1" localSheetId="1" hidden="1">30000</definedName>
    <definedName name="solver_rhs1" localSheetId="2" hidden="1">30000</definedName>
    <definedName name="solver_rhs2" localSheetId="0" hidden="1">0</definedName>
    <definedName name="solver_rhs2" localSheetId="1" hidden="1">0</definedName>
    <definedName name="solver_rhs2" localSheetId="2" hidden="1">0</definedName>
    <definedName name="solver_rhs3" localSheetId="1" hidden="1">250</definedName>
    <definedName name="solver_rhs3" localSheetId="2" hidden="1">250</definedName>
    <definedName name="solver_rhs4" localSheetId="1" hidden="1">0</definedName>
    <definedName name="solver_rhs4" localSheetId="2" hidden="1">0</definedName>
    <definedName name="solver_rhs5" localSheetId="1" hidden="1">0</definedName>
    <definedName name="solver_rhs5" localSheetId="2" hidden="1">0</definedName>
    <definedName name="solver_rhs6" localSheetId="1" hidden="1">0</definedName>
    <definedName name="solver_rhs6" localSheetId="2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t_GLV" localSheetId="2">'Расчет сверху'!$N$129</definedName>
    <definedName name="t_GLV">Лист3!$N$129</definedName>
    <definedName name="t_model" localSheetId="2">'Расчет сверху'!$C$74</definedName>
    <definedName name="t_model">Лист3!$C$74</definedName>
    <definedName name="T_wh" localSheetId="2">'Расчет сверху'!$C$36</definedName>
    <definedName name="T_wh">Лист3!$C$36</definedName>
    <definedName name="Tres">test_calc!$G$25</definedName>
    <definedName name="Tres_" localSheetId="3">Calc_func!$C$16</definedName>
    <definedName name="Tres_" localSheetId="5">test_calc!$C$40</definedName>
    <definedName name="Tres_" localSheetId="1">Лист3!$C$16</definedName>
    <definedName name="Tres_" localSheetId="2">'Расчет сверху'!$C$16</definedName>
    <definedName name="visc_ob">test_calc!$I$25</definedName>
    <definedName name="yg">test_calc!$D$25</definedName>
    <definedName name="yo">test_calc!$B$25</definedName>
    <definedName name="yw">test_calc!$C$25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1" i="6" l="1"/>
  <c r="AG41" i="6" a="1"/>
  <c r="AA41" i="6" a="1"/>
  <c r="AB41" i="6" a="1"/>
  <c r="AJ41" i="6" a="1"/>
  <c r="AK41" i="6" a="1"/>
  <c r="AF41" i="6" a="1"/>
  <c r="AG26" i="6" a="1"/>
  <c r="AI27" i="6" a="1"/>
  <c r="AI26" i="6" a="1"/>
  <c r="AH26" i="6" a="1"/>
  <c r="AF41" i="6" l="1"/>
  <c r="AK41" i="6"/>
  <c r="AJ41" i="6"/>
  <c r="AB41" i="6"/>
  <c r="AA41" i="6"/>
  <c r="AG41" i="6"/>
  <c r="AG26" i="6"/>
  <c r="AI27" i="6"/>
  <c r="AI26" i="6"/>
  <c r="AH26" i="6"/>
  <c r="AH41" i="6" a="1"/>
  <c r="AM41" i="6" a="1"/>
  <c r="AL41" i="6" a="1"/>
  <c r="AD41" i="6" a="1"/>
  <c r="AC41" i="6" a="1"/>
  <c r="AI41" i="6" a="1"/>
  <c r="AO27" i="6" a="1"/>
  <c r="AJ27" i="6" a="1"/>
  <c r="AI41" i="6" l="1"/>
  <c r="AC41" i="6"/>
  <c r="AD41" i="6"/>
  <c r="AE41" i="6" s="1"/>
  <c r="AL41" i="6"/>
  <c r="AM41" i="6"/>
  <c r="AO41" i="6" s="1"/>
  <c r="AH41" i="6"/>
  <c r="AJ27" i="6"/>
  <c r="AO27" i="6"/>
  <c r="Z36" i="6"/>
  <c r="AG52" i="6" a="1"/>
  <c r="AC51" i="6" a="1"/>
  <c r="AB51" i="6" a="1"/>
  <c r="AN41" i="6" l="1"/>
  <c r="AP41" i="6" s="1"/>
  <c r="AQ41" i="6" s="1"/>
  <c r="Z42" i="6" s="1"/>
  <c r="AG52" i="6"/>
  <c r="AC51" i="6"/>
  <c r="AB51" i="6"/>
  <c r="D93" i="4"/>
  <c r="N99" i="4"/>
  <c r="F66" i="4"/>
  <c r="F60" i="4"/>
  <c r="E60" i="4"/>
  <c r="AB42" i="6" a="1"/>
  <c r="AA42" i="6" a="1"/>
  <c r="C21" i="4"/>
  <c r="C24" i="4" a="1"/>
  <c r="C89" i="4" a="1"/>
  <c r="K27" i="6"/>
  <c r="M27" i="6" s="1" a="1"/>
  <c r="L27" i="6" a="1"/>
  <c r="C22" i="4" a="1"/>
  <c r="C74" i="4"/>
  <c r="K28" i="6"/>
  <c r="K26" i="6"/>
  <c r="N27" i="6" a="1"/>
  <c r="N28" i="6" a="1"/>
  <c r="M28" i="6" a="1"/>
  <c r="N26" i="6" a="1"/>
  <c r="M26" i="6" a="1"/>
  <c r="L26" i="6" a="1"/>
  <c r="AA42" i="6" l="1"/>
  <c r="AB42" i="6"/>
  <c r="C24" i="4"/>
  <c r="C22" i="4"/>
  <c r="C89" i="4"/>
  <c r="L26" i="6"/>
  <c r="M26" i="6"/>
  <c r="N26" i="6"/>
  <c r="M28" i="6"/>
  <c r="N28" i="6"/>
  <c r="L27" i="6"/>
  <c r="M27" i="6"/>
  <c r="N27" i="6"/>
  <c r="AC42" i="6" a="1"/>
  <c r="AD42" i="6" a="1"/>
  <c r="AF42" i="6" a="1"/>
  <c r="AJ42" i="6" a="1"/>
  <c r="AG42" i="6" a="1"/>
  <c r="AK42" i="6" a="1"/>
  <c r="L28" i="6" a="1"/>
  <c r="I55" i="5" a="1"/>
  <c r="AM26" i="6" a="1"/>
  <c r="AM28" i="6" a="1"/>
  <c r="AM27" i="6" a="1"/>
  <c r="AK42" i="6" l="1"/>
  <c r="AG42" i="6"/>
  <c r="AJ42" i="6"/>
  <c r="AF42" i="6"/>
  <c r="AD42" i="6"/>
  <c r="AE42" i="6" s="1"/>
  <c r="AC42" i="6"/>
  <c r="L28" i="6"/>
  <c r="AM28" i="6"/>
  <c r="AM26" i="6"/>
  <c r="AM27" i="6"/>
  <c r="I55" i="5"/>
  <c r="F69" i="4"/>
  <c r="F68" i="4"/>
  <c r="F67" i="4"/>
  <c r="F62" i="4"/>
  <c r="F61" i="4"/>
  <c r="F59" i="4"/>
  <c r="H55" i="4"/>
  <c r="D94" i="4"/>
  <c r="C27" i="5"/>
  <c r="Z141" i="5"/>
  <c r="Z140" i="5"/>
  <c r="N102" i="5"/>
  <c r="D102" i="5"/>
  <c r="Z143" i="5" s="1"/>
  <c r="Y100" i="5"/>
  <c r="N100" i="5"/>
  <c r="Y99" i="5"/>
  <c r="N99" i="5"/>
  <c r="Y94" i="5"/>
  <c r="D94" i="5"/>
  <c r="N93" i="5"/>
  <c r="E68" i="5"/>
  <c r="E67" i="5"/>
  <c r="F66" i="5"/>
  <c r="E61" i="5"/>
  <c r="K59" i="5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58" i="5"/>
  <c r="K57" i="5"/>
  <c r="H57" i="5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K56" i="5"/>
  <c r="H56" i="5"/>
  <c r="H55" i="5"/>
  <c r="E16" i="5"/>
  <c r="E15" i="5"/>
  <c r="E14" i="5"/>
  <c r="E13" i="5"/>
  <c r="E12" i="5"/>
  <c r="E11" i="5"/>
  <c r="AA49" i="1"/>
  <c r="Z49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3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10" i="1"/>
  <c r="V4" i="1"/>
  <c r="V5" i="1"/>
  <c r="V6" i="1"/>
  <c r="V7" i="1"/>
  <c r="V8" i="1"/>
  <c r="V9" i="1"/>
  <c r="V3" i="1"/>
  <c r="U52" i="1"/>
  <c r="U53" i="1"/>
  <c r="U54" i="1"/>
  <c r="U55" i="1"/>
  <c r="U56" i="1"/>
  <c r="U57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4" i="1"/>
  <c r="U5" i="1"/>
  <c r="U6" i="1"/>
  <c r="U3" i="1"/>
  <c r="D102" i="4"/>
  <c r="Z143" i="4" s="1"/>
  <c r="N102" i="4"/>
  <c r="N93" i="4"/>
  <c r="Z141" i="4"/>
  <c r="N100" i="4"/>
  <c r="Y100" i="4"/>
  <c r="Y94" i="4"/>
  <c r="E68" i="4"/>
  <c r="E67" i="4"/>
  <c r="E61" i="4"/>
  <c r="K56" i="4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E16" i="4"/>
  <c r="E15" i="4"/>
  <c r="E14" i="4"/>
  <c r="E13" i="4"/>
  <c r="E12" i="4"/>
  <c r="E11" i="4"/>
  <c r="Z102" i="3"/>
  <c r="F66" i="3"/>
  <c r="E67" i="3"/>
  <c r="M9" i="5" a="1"/>
  <c r="AM42" i="6" a="1"/>
  <c r="AI42" i="6" a="1"/>
  <c r="AL42" i="6" a="1"/>
  <c r="AH42" i="6" a="1"/>
  <c r="L65" i="5" a="1"/>
  <c r="I58" i="5" a="1"/>
  <c r="L75" i="4" a="1"/>
  <c r="I75" i="5" a="1"/>
  <c r="I55" i="4" a="1"/>
  <c r="L64" i="5" a="1"/>
  <c r="L60" i="4" a="1"/>
  <c r="I70" i="5" a="1"/>
  <c r="L70" i="4" a="1"/>
  <c r="L68" i="5" a="1"/>
  <c r="C41" i="4" a="1"/>
  <c r="L59" i="5" a="1"/>
  <c r="L74" i="5" a="1"/>
  <c r="L63" i="4" a="1"/>
  <c r="L71" i="4" a="1"/>
  <c r="AN28" i="6" a="1"/>
  <c r="L74" i="4" a="1"/>
  <c r="I69" i="5" a="1"/>
  <c r="C89" i="3" a="1"/>
  <c r="I66" i="5" a="1"/>
  <c r="L67" i="4" a="1"/>
  <c r="L72" i="4" a="1"/>
  <c r="I65" i="5" a="1"/>
  <c r="L58" i="4" a="1"/>
  <c r="I64" i="5" a="1"/>
  <c r="L61" i="4" a="1"/>
  <c r="Z133" i="4"/>
  <c r="I72" i="5" a="1"/>
  <c r="L73" i="5" a="1"/>
  <c r="I57" i="5" a="1"/>
  <c r="Z139" i="5"/>
  <c r="L55" i="5" a="1"/>
  <c r="I56" i="5" a="1"/>
  <c r="L57" i="4" a="1"/>
  <c r="L75" i="5" a="1"/>
  <c r="I68" i="5" a="1"/>
  <c r="L55" i="4" a="1"/>
  <c r="I74" i="5" a="1"/>
  <c r="AN27" i="6" a="1"/>
  <c r="L65" i="4" a="1"/>
  <c r="L66" i="4" a="1"/>
  <c r="I73" i="5" a="1"/>
  <c r="L56" i="4" a="1"/>
  <c r="L63" i="5" a="1"/>
  <c r="L62" i="5" a="1"/>
  <c r="L57" i="5" a="1"/>
  <c r="L64" i="4" a="1"/>
  <c r="L70" i="5" a="1"/>
  <c r="I59" i="5" a="1"/>
  <c r="G1" i="7"/>
  <c r="L68" i="4" a="1"/>
  <c r="I67" i="5" a="1"/>
  <c r="I71" i="5" a="1"/>
  <c r="L58" i="5" a="1"/>
  <c r="I62" i="5" a="1"/>
  <c r="I61" i="5" a="1"/>
  <c r="L66" i="5" a="1"/>
  <c r="Z139" i="4"/>
  <c r="Z133" i="5"/>
  <c r="L62" i="4" a="1"/>
  <c r="L69" i="5" a="1"/>
  <c r="L73" i="4" a="1"/>
  <c r="L60" i="5" a="1"/>
  <c r="AN26" i="6" a="1"/>
  <c r="C74" i="5"/>
  <c r="C21" i="5"/>
  <c r="L59" i="4" a="1"/>
  <c r="C89" i="5" a="1"/>
  <c r="I60" i="5" a="1"/>
  <c r="I63" i="5" a="1"/>
  <c r="L71" i="5" a="1"/>
  <c r="L61" i="5" a="1"/>
  <c r="L56" i="5" a="1"/>
  <c r="C23" i="4" a="1"/>
  <c r="L67" i="5" a="1"/>
  <c r="L69" i="4" a="1"/>
  <c r="L72" i="5" a="1"/>
  <c r="AG28" i="6" a="1"/>
  <c r="AH28" i="6" a="1"/>
  <c r="AI28" i="6" a="1"/>
  <c r="AG27" i="6" a="1"/>
  <c r="AH27" i="6" a="1"/>
  <c r="AJ36" i="6" a="1"/>
  <c r="AF36" i="6" a="1"/>
  <c r="AA36" i="6" a="1"/>
  <c r="AB36" i="6" a="1"/>
  <c r="AG36" i="6" a="1"/>
  <c r="AK36" i="6" a="1"/>
  <c r="AH42" i="6" l="1"/>
  <c r="AL42" i="6"/>
  <c r="AI42" i="6"/>
  <c r="AN42" i="6" s="1"/>
  <c r="AM42" i="6"/>
  <c r="AK36" i="6"/>
  <c r="AG36" i="6"/>
  <c r="AB36" i="6"/>
  <c r="AA36" i="6"/>
  <c r="AF36" i="6"/>
  <c r="AJ36" i="6"/>
  <c r="AI28" i="6"/>
  <c r="AH28" i="6"/>
  <c r="AG27" i="6"/>
  <c r="AH27" i="6"/>
  <c r="AG28" i="6"/>
  <c r="AN27" i="6"/>
  <c r="AN26" i="6"/>
  <c r="AN28" i="6"/>
  <c r="H56" i="4"/>
  <c r="I55" i="4"/>
  <c r="C34" i="4"/>
  <c r="L55" i="4"/>
  <c r="C23" i="4"/>
  <c r="Y96" i="4" s="1"/>
  <c r="M9" i="5"/>
  <c r="L63" i="5"/>
  <c r="L65" i="5"/>
  <c r="I71" i="5"/>
  <c r="I73" i="5"/>
  <c r="I69" i="5"/>
  <c r="I75" i="5"/>
  <c r="I58" i="5"/>
  <c r="L67" i="5"/>
  <c r="L55" i="5"/>
  <c r="I56" i="5"/>
  <c r="I62" i="5"/>
  <c r="I64" i="5"/>
  <c r="L69" i="5"/>
  <c r="L71" i="5"/>
  <c r="L73" i="5"/>
  <c r="L57" i="5"/>
  <c r="L61" i="5"/>
  <c r="I60" i="5"/>
  <c r="I66" i="5"/>
  <c r="L75" i="5"/>
  <c r="L59" i="5"/>
  <c r="L56" i="5"/>
  <c r="L58" i="5"/>
  <c r="L60" i="5"/>
  <c r="I67" i="5"/>
  <c r="L62" i="5"/>
  <c r="L64" i="5"/>
  <c r="I68" i="5"/>
  <c r="I70" i="5"/>
  <c r="I72" i="5"/>
  <c r="C89" i="5"/>
  <c r="L66" i="5"/>
  <c r="I74" i="5"/>
  <c r="I57" i="5"/>
  <c r="I59" i="5"/>
  <c r="I61" i="5"/>
  <c r="I63" i="5"/>
  <c r="I65" i="5"/>
  <c r="L68" i="5"/>
  <c r="L70" i="5"/>
  <c r="L72" i="5"/>
  <c r="L74" i="5"/>
  <c r="AB49" i="1"/>
  <c r="N96" i="4"/>
  <c r="Y99" i="4"/>
  <c r="Z140" i="4"/>
  <c r="L59" i="4"/>
  <c r="L67" i="4"/>
  <c r="L69" i="4"/>
  <c r="L71" i="4"/>
  <c r="L73" i="4"/>
  <c r="L63" i="4"/>
  <c r="L75" i="4"/>
  <c r="L57" i="4"/>
  <c r="L61" i="4"/>
  <c r="L65" i="4"/>
  <c r="L56" i="4"/>
  <c r="L58" i="4"/>
  <c r="L60" i="4"/>
  <c r="L64" i="4"/>
  <c r="C41" i="4"/>
  <c r="L62" i="4"/>
  <c r="L66" i="4"/>
  <c r="L68" i="4"/>
  <c r="L70" i="4"/>
  <c r="L72" i="4"/>
  <c r="L74" i="4"/>
  <c r="C89" i="3"/>
  <c r="E68" i="3"/>
  <c r="E61" i="3"/>
  <c r="K56" i="3"/>
  <c r="Z99" i="3"/>
  <c r="AM36" i="6" a="1"/>
  <c r="AI36" i="6" a="1"/>
  <c r="AD36" i="6" a="1"/>
  <c r="AC36" i="6" a="1"/>
  <c r="AL36" i="6" a="1"/>
  <c r="AH36" i="6" a="1"/>
  <c r="AJ28" i="6" a="1"/>
  <c r="AO26" i="6" a="1"/>
  <c r="AJ26" i="6" a="1"/>
  <c r="AO28" i="6" a="1"/>
  <c r="I77" i="5" a="1"/>
  <c r="O77" i="5" a="1"/>
  <c r="O77" i="4" a="1"/>
  <c r="I56" i="4" a="1"/>
  <c r="O89" i="4" a="1"/>
  <c r="P89" i="4" a="1"/>
  <c r="O65" i="4" a="1"/>
  <c r="Z133" i="3"/>
  <c r="L77" i="4" a="1"/>
  <c r="L77" i="5" a="1"/>
  <c r="AO42" i="6" l="1"/>
  <c r="AP42" i="6" s="1"/>
  <c r="AQ42" i="6" s="1"/>
  <c r="Z43" i="6" s="1"/>
  <c r="AH36" i="6"/>
  <c r="AL36" i="6"/>
  <c r="AC36" i="6"/>
  <c r="AD36" i="6"/>
  <c r="AE36" i="6" s="1"/>
  <c r="AI36" i="6"/>
  <c r="AM36" i="6"/>
  <c r="AO36" i="6" s="1"/>
  <c r="AO28" i="6"/>
  <c r="AJ26" i="6"/>
  <c r="AO26" i="6"/>
  <c r="AJ28" i="6"/>
  <c r="P89" i="4"/>
  <c r="O65" i="4"/>
  <c r="O77" i="4"/>
  <c r="L77" i="4"/>
  <c r="I56" i="4"/>
  <c r="H57" i="4"/>
  <c r="I77" i="5"/>
  <c r="O77" i="5"/>
  <c r="L77" i="5"/>
  <c r="O89" i="4"/>
  <c r="D93" i="5"/>
  <c r="C34" i="5"/>
  <c r="D96" i="4"/>
  <c r="O99" i="3"/>
  <c r="O94" i="3"/>
  <c r="Z141" i="3"/>
  <c r="Z140" i="3"/>
  <c r="Z100" i="3"/>
  <c r="O100" i="3"/>
  <c r="AB43" i="6" a="1"/>
  <c r="AA43" i="6" a="1"/>
  <c r="O78" i="4" a="1"/>
  <c r="L78" i="4" a="1"/>
  <c r="I57" i="4" a="1"/>
  <c r="Z139" i="3"/>
  <c r="AA43" i="6" l="1"/>
  <c r="AB43" i="6"/>
  <c r="AN36" i="6"/>
  <c r="AP36" i="6" s="1"/>
  <c r="AQ36" i="6" s="1"/>
  <c r="Z37" i="6" s="1"/>
  <c r="L78" i="4"/>
  <c r="D95" i="4" s="1"/>
  <c r="I57" i="4"/>
  <c r="H58" i="4"/>
  <c r="O78" i="4"/>
  <c r="N95" i="4" s="1"/>
  <c r="D94" i="3"/>
  <c r="AC43" i="6" a="1"/>
  <c r="AG43" i="6" a="1"/>
  <c r="AD43" i="6" a="1"/>
  <c r="AJ43" i="6" a="1"/>
  <c r="AK43" i="6" a="1"/>
  <c r="AF43" i="6" a="1"/>
  <c r="AF37" i="6" a="1"/>
  <c r="AJ37" i="6" a="1"/>
  <c r="AA37" i="6" a="1"/>
  <c r="AK37" i="6" a="1"/>
  <c r="AG37" i="6" a="1"/>
  <c r="AB37" i="6" a="1"/>
  <c r="M103" i="4" a="1"/>
  <c r="I58" i="4" a="1"/>
  <c r="C103" i="4" a="1"/>
  <c r="AF43" i="6" l="1"/>
  <c r="AK43" i="6"/>
  <c r="AJ43" i="6"/>
  <c r="AD43" i="6"/>
  <c r="AG43" i="6"/>
  <c r="AC43" i="6"/>
  <c r="AB37" i="6"/>
  <c r="AG37" i="6"/>
  <c r="AK37" i="6"/>
  <c r="AA37" i="6"/>
  <c r="AJ37" i="6"/>
  <c r="AF37" i="6"/>
  <c r="Q110" i="4"/>
  <c r="N107" i="4"/>
  <c r="R116" i="4"/>
  <c r="S104" i="4"/>
  <c r="S122" i="4"/>
  <c r="T113" i="4"/>
  <c r="Q103" i="4"/>
  <c r="Q121" i="4"/>
  <c r="R112" i="4"/>
  <c r="P110" i="4"/>
  <c r="O120" i="4"/>
  <c r="T103" i="4"/>
  <c r="T121" i="4"/>
  <c r="M107" i="4"/>
  <c r="S114" i="4"/>
  <c r="N106" i="4"/>
  <c r="T111" i="4"/>
  <c r="M112" i="4"/>
  <c r="N119" i="4"/>
  <c r="N118" i="4"/>
  <c r="O106" i="4"/>
  <c r="O124" i="4"/>
  <c r="P115" i="4"/>
  <c r="M105" i="4"/>
  <c r="M123" i="4"/>
  <c r="N114" i="4"/>
  <c r="S103" i="4"/>
  <c r="S121" i="4"/>
  <c r="P105" i="4"/>
  <c r="P123" i="4"/>
  <c r="N116" i="4"/>
  <c r="O116" i="4"/>
  <c r="M109" i="4"/>
  <c r="O113" i="4"/>
  <c r="Q113" i="4"/>
  <c r="P113" i="4"/>
  <c r="R119" i="4"/>
  <c r="S107" i="4"/>
  <c r="S125" i="4"/>
  <c r="T116" i="4"/>
  <c r="Q106" i="4"/>
  <c r="Q124" i="4"/>
  <c r="R115" i="4"/>
  <c r="O105" i="4"/>
  <c r="O123" i="4"/>
  <c r="T106" i="4"/>
  <c r="T124" i="4"/>
  <c r="N125" i="4"/>
  <c r="S117" i="4"/>
  <c r="T110" i="4"/>
  <c r="M115" i="4"/>
  <c r="N103" i="4"/>
  <c r="N121" i="4"/>
  <c r="O109" i="4"/>
  <c r="R114" i="4"/>
  <c r="P118" i="4"/>
  <c r="M108" i="4"/>
  <c r="R105" i="4"/>
  <c r="N117" i="4"/>
  <c r="S106" i="4"/>
  <c r="S124" i="4"/>
  <c r="P108" i="4"/>
  <c r="M104" i="4"/>
  <c r="P104" i="4"/>
  <c r="O119" i="4"/>
  <c r="R104" i="4"/>
  <c r="R122" i="4"/>
  <c r="S110" i="4"/>
  <c r="T117" i="4"/>
  <c r="T119" i="4"/>
  <c r="Q109" i="4"/>
  <c r="T108" i="4"/>
  <c r="R118" i="4"/>
  <c r="O108" i="4"/>
  <c r="Q105" i="4"/>
  <c r="T109" i="4"/>
  <c r="Q108" i="4"/>
  <c r="T120" i="4"/>
  <c r="S120" i="4"/>
  <c r="M118" i="4"/>
  <c r="N124" i="4"/>
  <c r="O112" i="4"/>
  <c r="P103" i="4"/>
  <c r="P121" i="4"/>
  <c r="M111" i="4"/>
  <c r="P125" i="4"/>
  <c r="N120" i="4"/>
  <c r="S109" i="4"/>
  <c r="M110" i="4"/>
  <c r="P111" i="4"/>
  <c r="Q111" i="4"/>
  <c r="O104" i="4"/>
  <c r="O122" i="4"/>
  <c r="Q116" i="4"/>
  <c r="R113" i="4"/>
  <c r="S111" i="4"/>
  <c r="Q117" i="4"/>
  <c r="N115" i="4"/>
  <c r="O103" i="4"/>
  <c r="O121" i="4"/>
  <c r="P112" i="4"/>
  <c r="P122" i="4"/>
  <c r="M120" i="4"/>
  <c r="N111" i="4"/>
  <c r="R123" i="4"/>
  <c r="P120" i="4"/>
  <c r="T114" i="4"/>
  <c r="P119" i="4"/>
  <c r="Q119" i="4"/>
  <c r="R107" i="4"/>
  <c r="R125" i="4"/>
  <c r="S113" i="4"/>
  <c r="T104" i="4"/>
  <c r="T122" i="4"/>
  <c r="Q112" i="4"/>
  <c r="R103" i="4"/>
  <c r="R121" i="4"/>
  <c r="O111" i="4"/>
  <c r="M113" i="4"/>
  <c r="T112" i="4"/>
  <c r="Q114" i="4"/>
  <c r="S105" i="4"/>
  <c r="S123" i="4"/>
  <c r="M103" i="4"/>
  <c r="M121" i="4"/>
  <c r="N109" i="4"/>
  <c r="M119" i="4"/>
  <c r="O115" i="4"/>
  <c r="P106" i="4"/>
  <c r="P124" i="4"/>
  <c r="M114" i="4"/>
  <c r="N105" i="4"/>
  <c r="N123" i="4"/>
  <c r="S112" i="4"/>
  <c r="M116" i="4"/>
  <c r="P114" i="4"/>
  <c r="Q120" i="4"/>
  <c r="O107" i="4"/>
  <c r="O125" i="4"/>
  <c r="N112" i="4"/>
  <c r="Q125" i="4"/>
  <c r="P116" i="4"/>
  <c r="S119" i="4"/>
  <c r="P107" i="4"/>
  <c r="Q118" i="4"/>
  <c r="R109" i="4"/>
  <c r="N113" i="4"/>
  <c r="O117" i="4"/>
  <c r="T118" i="4"/>
  <c r="R120" i="4"/>
  <c r="Q104" i="4"/>
  <c r="Q122" i="4"/>
  <c r="R110" i="4"/>
  <c r="R111" i="4"/>
  <c r="S116" i="4"/>
  <c r="T107" i="4"/>
  <c r="T125" i="4"/>
  <c r="Q115" i="4"/>
  <c r="R106" i="4"/>
  <c r="R124" i="4"/>
  <c r="O114" i="4"/>
  <c r="M122" i="4"/>
  <c r="T115" i="4"/>
  <c r="M125" i="4"/>
  <c r="S108" i="4"/>
  <c r="T105" i="4"/>
  <c r="M106" i="4"/>
  <c r="M124" i="4"/>
  <c r="N122" i="4"/>
  <c r="O118" i="4"/>
  <c r="P109" i="4"/>
  <c r="N104" i="4"/>
  <c r="M117" i="4"/>
  <c r="N108" i="4"/>
  <c r="Q123" i="4"/>
  <c r="S115" i="4"/>
  <c r="R108" i="4"/>
  <c r="P117" i="4"/>
  <c r="N110" i="4"/>
  <c r="O110" i="4"/>
  <c r="T123" i="4"/>
  <c r="Q107" i="4"/>
  <c r="R117" i="4"/>
  <c r="S118" i="4"/>
  <c r="D103" i="4"/>
  <c r="E118" i="4"/>
  <c r="J107" i="4"/>
  <c r="D110" i="4"/>
  <c r="C117" i="4"/>
  <c r="H112" i="4"/>
  <c r="D122" i="4"/>
  <c r="I115" i="4"/>
  <c r="J103" i="4"/>
  <c r="C110" i="4"/>
  <c r="D107" i="4"/>
  <c r="I111" i="4"/>
  <c r="J117" i="4"/>
  <c r="C115" i="4"/>
  <c r="G110" i="4"/>
  <c r="D121" i="4"/>
  <c r="I110" i="4"/>
  <c r="E108" i="4"/>
  <c r="H107" i="4"/>
  <c r="J119" i="4"/>
  <c r="C104" i="4"/>
  <c r="H104" i="4"/>
  <c r="I119" i="4"/>
  <c r="F109" i="4"/>
  <c r="D116" i="4"/>
  <c r="G118" i="4"/>
  <c r="D114" i="4"/>
  <c r="H115" i="4"/>
  <c r="E117" i="4"/>
  <c r="J106" i="4"/>
  <c r="G111" i="4"/>
  <c r="H108" i="4"/>
  <c r="E113" i="4"/>
  <c r="J105" i="4"/>
  <c r="G119" i="4"/>
  <c r="D115" i="4"/>
  <c r="C112" i="4"/>
  <c r="D125" i="4"/>
  <c r="F108" i="4"/>
  <c r="F116" i="4"/>
  <c r="C111" i="4"/>
  <c r="I105" i="4"/>
  <c r="E111" i="4"/>
  <c r="I112" i="4"/>
  <c r="C107" i="4"/>
  <c r="H116" i="4"/>
  <c r="H114" i="4"/>
  <c r="E110" i="4"/>
  <c r="H119" i="4"/>
  <c r="E103" i="4"/>
  <c r="E121" i="4"/>
  <c r="J110" i="4"/>
  <c r="F125" i="4"/>
  <c r="C120" i="4"/>
  <c r="D117" i="4"/>
  <c r="H124" i="4"/>
  <c r="I118" i="4"/>
  <c r="F111" i="4"/>
  <c r="C113" i="4"/>
  <c r="D113" i="4"/>
  <c r="I114" i="4"/>
  <c r="F107" i="4"/>
  <c r="G104" i="4"/>
  <c r="C124" i="4"/>
  <c r="C121" i="4"/>
  <c r="I120" i="4"/>
  <c r="D105" i="4"/>
  <c r="H122" i="4"/>
  <c r="H106" i="4"/>
  <c r="I123" i="4"/>
  <c r="J121" i="4"/>
  <c r="J104" i="4"/>
  <c r="J124" i="4"/>
  <c r="H125" i="4"/>
  <c r="D111" i="4"/>
  <c r="D104" i="4"/>
  <c r="I104" i="4"/>
  <c r="I122" i="4"/>
  <c r="F112" i="4"/>
  <c r="G103" i="4"/>
  <c r="G121" i="4"/>
  <c r="H118" i="4"/>
  <c r="J109" i="4"/>
  <c r="E120" i="4"/>
  <c r="F114" i="4"/>
  <c r="G114" i="4"/>
  <c r="H120" i="4"/>
  <c r="E116" i="4"/>
  <c r="J108" i="4"/>
  <c r="H113" i="4"/>
  <c r="G107" i="4"/>
  <c r="D112" i="4"/>
  <c r="H123" i="4"/>
  <c r="G120" i="4"/>
  <c r="E112" i="4"/>
  <c r="J112" i="4"/>
  <c r="C109" i="4"/>
  <c r="I113" i="4"/>
  <c r="G112" i="4"/>
  <c r="G123" i="4"/>
  <c r="D124" i="4"/>
  <c r="H109" i="4"/>
  <c r="F104" i="4"/>
  <c r="F106" i="4"/>
  <c r="D119" i="4"/>
  <c r="F122" i="4"/>
  <c r="E106" i="4"/>
  <c r="E124" i="4"/>
  <c r="J113" i="4"/>
  <c r="C105" i="4"/>
  <c r="C123" i="4"/>
  <c r="D120" i="4"/>
  <c r="I103" i="4"/>
  <c r="I121" i="4"/>
  <c r="F117" i="4"/>
  <c r="C116" i="4"/>
  <c r="J123" i="4"/>
  <c r="I117" i="4"/>
  <c r="F110" i="4"/>
  <c r="G122" i="4"/>
  <c r="D109" i="4"/>
  <c r="H110" i="4"/>
  <c r="E122" i="4"/>
  <c r="J115" i="4"/>
  <c r="J120" i="4"/>
  <c r="F121" i="4"/>
  <c r="J118" i="4"/>
  <c r="C103" i="4"/>
  <c r="C114" i="4"/>
  <c r="C125" i="4"/>
  <c r="I107" i="4"/>
  <c r="I125" i="4"/>
  <c r="F115" i="4"/>
  <c r="G106" i="4"/>
  <c r="G124" i="4"/>
  <c r="H121" i="4"/>
  <c r="E105" i="4"/>
  <c r="E123" i="4"/>
  <c r="F120" i="4"/>
  <c r="G117" i="4"/>
  <c r="H105" i="4"/>
  <c r="E119" i="4"/>
  <c r="J111" i="4"/>
  <c r="C106" i="4"/>
  <c r="D118" i="4"/>
  <c r="F118" i="4"/>
  <c r="H117" i="4"/>
  <c r="F119" i="4"/>
  <c r="I109" i="4"/>
  <c r="G116" i="4"/>
  <c r="F103" i="4"/>
  <c r="D108" i="4"/>
  <c r="E107" i="4"/>
  <c r="C118" i="4"/>
  <c r="H111" i="4"/>
  <c r="G113" i="4"/>
  <c r="J125" i="4"/>
  <c r="G108" i="4"/>
  <c r="G125" i="4"/>
  <c r="E109" i="4"/>
  <c r="J122" i="4"/>
  <c r="J116" i="4"/>
  <c r="C108" i="4"/>
  <c r="H103" i="4"/>
  <c r="D123" i="4"/>
  <c r="I106" i="4"/>
  <c r="I124" i="4"/>
  <c r="F123" i="4"/>
  <c r="C119" i="4"/>
  <c r="J114" i="4"/>
  <c r="D106" i="4"/>
  <c r="G109" i="4"/>
  <c r="F105" i="4"/>
  <c r="E104" i="4"/>
  <c r="C122" i="4"/>
  <c r="G105" i="4"/>
  <c r="F124" i="4"/>
  <c r="I108" i="4"/>
  <c r="G115" i="4"/>
  <c r="E114" i="4"/>
  <c r="F113" i="4"/>
  <c r="E125" i="4"/>
  <c r="E115" i="4"/>
  <c r="I116" i="4"/>
  <c r="I58" i="4"/>
  <c r="H59" i="4"/>
  <c r="C128" i="4"/>
  <c r="K57" i="3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H55" i="3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AH43" i="6" a="1"/>
  <c r="AM43" i="6" a="1"/>
  <c r="AL43" i="6" a="1"/>
  <c r="AI43" i="6" a="1"/>
  <c r="AD37" i="6" a="1"/>
  <c r="AI37" i="6" a="1"/>
  <c r="AM37" i="6" a="1"/>
  <c r="AC37" i="6" a="1"/>
  <c r="AL37" i="6" a="1"/>
  <c r="AH37" i="6" a="1"/>
  <c r="I55" i="3" a="1"/>
  <c r="L65" i="3" a="1"/>
  <c r="I60" i="3" a="1"/>
  <c r="I69" i="3" a="1"/>
  <c r="L69" i="3" a="1"/>
  <c r="L61" i="3" a="1"/>
  <c r="I73" i="3" a="1"/>
  <c r="L62" i="3" a="1"/>
  <c r="I72" i="3" a="1"/>
  <c r="I65" i="3" a="1"/>
  <c r="L66" i="3" a="1"/>
  <c r="L58" i="3" a="1"/>
  <c r="L75" i="3" a="1"/>
  <c r="L57" i="3" a="1"/>
  <c r="I59" i="3" a="1"/>
  <c r="L64" i="3" a="1"/>
  <c r="I68" i="3" a="1"/>
  <c r="I66" i="3" a="1"/>
  <c r="I61" i="3" a="1"/>
  <c r="I70" i="3" a="1"/>
  <c r="I57" i="3" a="1"/>
  <c r="I64" i="3" a="1"/>
  <c r="C74" i="3"/>
  <c r="I58" i="3" a="1"/>
  <c r="I63" i="3" a="1"/>
  <c r="I71" i="3" a="1"/>
  <c r="L71" i="3" a="1"/>
  <c r="I75" i="3" a="1"/>
  <c r="L63" i="3" a="1"/>
  <c r="L55" i="3" a="1"/>
  <c r="L73" i="3" a="1"/>
  <c r="L74" i="3" a="1"/>
  <c r="I56" i="3" a="1"/>
  <c r="C21" i="3"/>
  <c r="L60" i="3" a="1"/>
  <c r="I74" i="3" a="1"/>
  <c r="I59" i="4" a="1"/>
  <c r="I62" i="3" a="1"/>
  <c r="C41" i="3" a="1"/>
  <c r="L59" i="3" a="1"/>
  <c r="L56" i="3" a="1"/>
  <c r="L72" i="3" a="1"/>
  <c r="L70" i="3" a="1"/>
  <c r="L67" i="3" a="1"/>
  <c r="I67" i="3" a="1"/>
  <c r="L68" i="3" a="1"/>
  <c r="C24" i="5" a="1"/>
  <c r="C23" i="5" a="1"/>
  <c r="C41" i="5" a="1"/>
  <c r="AI43" i="6" l="1"/>
  <c r="AL43" i="6"/>
  <c r="AM43" i="6"/>
  <c r="AO43" i="6" s="1"/>
  <c r="AH43" i="6"/>
  <c r="AE43" i="6"/>
  <c r="AH37" i="6"/>
  <c r="AL37" i="6"/>
  <c r="AC37" i="6"/>
  <c r="AM37" i="6"/>
  <c r="AI37" i="6"/>
  <c r="AD37" i="6"/>
  <c r="AE37" i="6" s="1"/>
  <c r="AN37" i="6"/>
  <c r="AO37" i="6"/>
  <c r="I59" i="4"/>
  <c r="H60" i="4"/>
  <c r="C41" i="3"/>
  <c r="C24" i="5"/>
  <c r="C41" i="5"/>
  <c r="C23" i="5"/>
  <c r="Y96" i="5" s="1"/>
  <c r="L73" i="3"/>
  <c r="L67" i="3"/>
  <c r="L61" i="3"/>
  <c r="L72" i="3"/>
  <c r="L66" i="3"/>
  <c r="L60" i="3"/>
  <c r="L65" i="3"/>
  <c r="L70" i="3"/>
  <c r="L64" i="3"/>
  <c r="L58" i="3"/>
  <c r="L59" i="3"/>
  <c r="L63" i="3"/>
  <c r="L57" i="3"/>
  <c r="L69" i="3"/>
  <c r="L71" i="3"/>
  <c r="L75" i="3"/>
  <c r="L74" i="3"/>
  <c r="L68" i="3"/>
  <c r="L62" i="3"/>
  <c r="L56" i="3"/>
  <c r="L55" i="3"/>
  <c r="I61" i="3"/>
  <c r="I74" i="3"/>
  <c r="I68" i="3"/>
  <c r="I60" i="3"/>
  <c r="I73" i="3"/>
  <c r="I59" i="3"/>
  <c r="I67" i="3"/>
  <c r="I65" i="3"/>
  <c r="I64" i="3"/>
  <c r="I58" i="3"/>
  <c r="I71" i="3"/>
  <c r="I70" i="3"/>
  <c r="I72" i="3"/>
  <c r="I63" i="3"/>
  <c r="I57" i="3"/>
  <c r="I66" i="3"/>
  <c r="I75" i="3"/>
  <c r="I69" i="3"/>
  <c r="I62" i="3"/>
  <c r="I56" i="3"/>
  <c r="I55" i="3"/>
  <c r="O77" i="3" a="1"/>
  <c r="C23" i="3" a="1"/>
  <c r="O89" i="5" a="1"/>
  <c r="O78" i="5" a="1"/>
  <c r="L78" i="5" a="1"/>
  <c r="I77" i="3" a="1"/>
  <c r="C22" i="5" a="1"/>
  <c r="L77" i="3" a="1"/>
  <c r="I78" i="5" a="1"/>
  <c r="I60" i="4" a="1"/>
  <c r="AN43" i="6" l="1"/>
  <c r="AP43" i="6" s="1"/>
  <c r="AQ43" i="6" s="1"/>
  <c r="Z44" i="6" s="1"/>
  <c r="AP37" i="6"/>
  <c r="AQ37" i="6" s="1"/>
  <c r="Z38" i="6" s="1"/>
  <c r="O78" i="5"/>
  <c r="N95" i="5" s="1"/>
  <c r="L78" i="5"/>
  <c r="D95" i="5" s="1"/>
  <c r="C22" i="5"/>
  <c r="D96" i="5" s="1"/>
  <c r="I60" i="4"/>
  <c r="H61" i="4"/>
  <c r="I78" i="5"/>
  <c r="Y95" i="5" s="1"/>
  <c r="O89" i="5"/>
  <c r="N96" i="5"/>
  <c r="Z134" i="5"/>
  <c r="L77" i="3"/>
  <c r="O77" i="3"/>
  <c r="I77" i="3"/>
  <c r="C23" i="3"/>
  <c r="O96" i="3" s="1"/>
  <c r="AA44" i="6" a="1"/>
  <c r="AB44" i="6" a="1"/>
  <c r="AB38" i="6" a="1"/>
  <c r="AG38" i="6" a="1"/>
  <c r="AK38" i="6" a="1"/>
  <c r="AA38" i="6" a="1"/>
  <c r="AJ38" i="6" a="1"/>
  <c r="AF38" i="6" a="1"/>
  <c r="C103" i="5" a="1"/>
  <c r="O78" i="3" a="1"/>
  <c r="L78" i="3" a="1"/>
  <c r="I78" i="3" a="1"/>
  <c r="O89" i="3" a="1"/>
  <c r="I61" i="4" a="1"/>
  <c r="AB44" i="6" l="1"/>
  <c r="AA44" i="6"/>
  <c r="AK38" i="6"/>
  <c r="AG38" i="6"/>
  <c r="AB38" i="6"/>
  <c r="AA38" i="6"/>
  <c r="AF38" i="6"/>
  <c r="AJ38" i="6"/>
  <c r="C116" i="5"/>
  <c r="D121" i="5"/>
  <c r="D119" i="5"/>
  <c r="H109" i="5"/>
  <c r="E111" i="5"/>
  <c r="E116" i="5"/>
  <c r="D106" i="5"/>
  <c r="J111" i="5"/>
  <c r="D117" i="5"/>
  <c r="H105" i="5"/>
  <c r="I103" i="5"/>
  <c r="J116" i="5"/>
  <c r="D112" i="5"/>
  <c r="H114" i="5"/>
  <c r="G108" i="5"/>
  <c r="G113" i="5"/>
  <c r="I112" i="5"/>
  <c r="F113" i="5"/>
  <c r="D105" i="5"/>
  <c r="E110" i="5"/>
  <c r="C118" i="5"/>
  <c r="I121" i="5"/>
  <c r="H124" i="5"/>
  <c r="C109" i="5"/>
  <c r="J117" i="5"/>
  <c r="G104" i="5"/>
  <c r="G123" i="5"/>
  <c r="J120" i="5"/>
  <c r="C125" i="5"/>
  <c r="H118" i="5"/>
  <c r="F120" i="5"/>
  <c r="E124" i="5"/>
  <c r="J123" i="5"/>
  <c r="E118" i="5"/>
  <c r="F116" i="5"/>
  <c r="D122" i="5"/>
  <c r="D120" i="5"/>
  <c r="E125" i="5"/>
  <c r="C128" i="5" s="1"/>
  <c r="I104" i="5"/>
  <c r="C103" i="5"/>
  <c r="J114" i="5"/>
  <c r="G122" i="5"/>
  <c r="F111" i="5"/>
  <c r="C120" i="5"/>
  <c r="I110" i="5"/>
  <c r="G110" i="5"/>
  <c r="I109" i="5"/>
  <c r="J108" i="5"/>
  <c r="D113" i="5"/>
  <c r="J107" i="5"/>
  <c r="G116" i="5"/>
  <c r="I115" i="5"/>
  <c r="H104" i="5"/>
  <c r="H119" i="5"/>
  <c r="I122" i="5"/>
  <c r="C121" i="5"/>
  <c r="C113" i="5"/>
  <c r="C110" i="5"/>
  <c r="D104" i="5"/>
  <c r="E117" i="5"/>
  <c r="I118" i="5"/>
  <c r="H122" i="5"/>
  <c r="J105" i="5"/>
  <c r="D118" i="5"/>
  <c r="J106" i="5"/>
  <c r="C122" i="5"/>
  <c r="F121" i="5"/>
  <c r="F105" i="5"/>
  <c r="F124" i="5"/>
  <c r="E112" i="5"/>
  <c r="F112" i="5"/>
  <c r="J121" i="5"/>
  <c r="J109" i="5"/>
  <c r="D109" i="5"/>
  <c r="C112" i="5"/>
  <c r="D111" i="5"/>
  <c r="J119" i="5"/>
  <c r="I111" i="5"/>
  <c r="G117" i="5"/>
  <c r="I123" i="5"/>
  <c r="F117" i="5"/>
  <c r="C111" i="5"/>
  <c r="D103" i="5"/>
  <c r="I114" i="5"/>
  <c r="E103" i="5"/>
  <c r="J125" i="5"/>
  <c r="I108" i="5"/>
  <c r="H107" i="5"/>
  <c r="E107" i="5"/>
  <c r="G105" i="5"/>
  <c r="C106" i="5"/>
  <c r="E105" i="5"/>
  <c r="G103" i="5"/>
  <c r="D115" i="5"/>
  <c r="I116" i="5"/>
  <c r="C123" i="5"/>
  <c r="D108" i="5"/>
  <c r="D124" i="5"/>
  <c r="H113" i="5"/>
  <c r="E121" i="5"/>
  <c r="C105" i="5"/>
  <c r="G115" i="5"/>
  <c r="E120" i="5"/>
  <c r="F110" i="5"/>
  <c r="I107" i="5"/>
  <c r="C124" i="5"/>
  <c r="D116" i="5"/>
  <c r="G121" i="5"/>
  <c r="D125" i="5"/>
  <c r="F106" i="5"/>
  <c r="E108" i="5"/>
  <c r="H117" i="5"/>
  <c r="F125" i="5"/>
  <c r="H125" i="5"/>
  <c r="J110" i="5"/>
  <c r="F123" i="5"/>
  <c r="D114" i="5"/>
  <c r="E106" i="5"/>
  <c r="I120" i="5"/>
  <c r="J122" i="5"/>
  <c r="G120" i="5"/>
  <c r="J112" i="5"/>
  <c r="J115" i="5"/>
  <c r="I113" i="5"/>
  <c r="G111" i="5"/>
  <c r="J118" i="5"/>
  <c r="D107" i="5"/>
  <c r="I119" i="5"/>
  <c r="H116" i="5"/>
  <c r="H120" i="5"/>
  <c r="I117" i="5"/>
  <c r="F107" i="5"/>
  <c r="I125" i="5"/>
  <c r="E113" i="5"/>
  <c r="F115" i="5"/>
  <c r="H110" i="5"/>
  <c r="I105" i="5"/>
  <c r="H115" i="5"/>
  <c r="F103" i="5"/>
  <c r="G109" i="5"/>
  <c r="C115" i="5"/>
  <c r="E114" i="5"/>
  <c r="F109" i="5"/>
  <c r="E115" i="5"/>
  <c r="C114" i="5"/>
  <c r="F122" i="5"/>
  <c r="F104" i="5"/>
  <c r="J113" i="5"/>
  <c r="J104" i="5"/>
  <c r="G118" i="5"/>
  <c r="G114" i="5"/>
  <c r="G107" i="5"/>
  <c r="I106" i="5"/>
  <c r="I124" i="5"/>
  <c r="H106" i="5"/>
  <c r="F118" i="5"/>
  <c r="J103" i="5"/>
  <c r="H111" i="5"/>
  <c r="J124" i="5"/>
  <c r="H112" i="5"/>
  <c r="G119" i="5"/>
  <c r="C104" i="5"/>
  <c r="E122" i="5"/>
  <c r="C108" i="5"/>
  <c r="H121" i="5"/>
  <c r="E109" i="5"/>
  <c r="G125" i="5"/>
  <c r="E104" i="5"/>
  <c r="G106" i="5"/>
  <c r="D110" i="5"/>
  <c r="F119" i="5"/>
  <c r="H123" i="5"/>
  <c r="G112" i="5"/>
  <c r="C119" i="5"/>
  <c r="E119" i="5"/>
  <c r="E123" i="5"/>
  <c r="F108" i="5"/>
  <c r="C117" i="5"/>
  <c r="C107" i="5"/>
  <c r="H103" i="5"/>
  <c r="D123" i="5"/>
  <c r="H108" i="5"/>
  <c r="F114" i="5"/>
  <c r="G124" i="5"/>
  <c r="I61" i="4"/>
  <c r="H62" i="4"/>
  <c r="O89" i="3"/>
  <c r="O93" i="3" s="1"/>
  <c r="O78" i="3"/>
  <c r="Z95" i="3" s="1"/>
  <c r="L78" i="3"/>
  <c r="D95" i="3" s="1"/>
  <c r="I78" i="3"/>
  <c r="O95" i="3" s="1"/>
  <c r="AD44" i="6" a="1"/>
  <c r="AC44" i="6" a="1"/>
  <c r="AJ44" i="6" a="1"/>
  <c r="AF44" i="6" a="1"/>
  <c r="AG44" i="6" a="1"/>
  <c r="AK44" i="6" a="1"/>
  <c r="AM38" i="6" a="1"/>
  <c r="AI38" i="6" a="1"/>
  <c r="AD38" i="6" a="1"/>
  <c r="AC38" i="6" a="1"/>
  <c r="AH38" i="6" a="1"/>
  <c r="AL38" i="6" a="1"/>
  <c r="I62" i="4" a="1"/>
  <c r="N103" i="3" a="1"/>
  <c r="AK44" i="6" l="1"/>
  <c r="AG44" i="6"/>
  <c r="AF44" i="6"/>
  <c r="AJ44" i="6"/>
  <c r="AC44" i="6"/>
  <c r="AD44" i="6"/>
  <c r="AE44" i="6" s="1"/>
  <c r="AM38" i="6"/>
  <c r="AI38" i="6"/>
  <c r="AD38" i="6"/>
  <c r="AL38" i="6"/>
  <c r="AH38" i="6"/>
  <c r="AN38" i="6"/>
  <c r="AC38" i="6"/>
  <c r="AE38" i="6"/>
  <c r="I62" i="4"/>
  <c r="H63" i="4"/>
  <c r="N103" i="3"/>
  <c r="N121" i="3"/>
  <c r="S110" i="3"/>
  <c r="P109" i="3"/>
  <c r="Q103" i="3"/>
  <c r="Q121" i="3"/>
  <c r="N117" i="3"/>
  <c r="O105" i="3"/>
  <c r="O123" i="3"/>
  <c r="T118" i="3"/>
  <c r="Q114" i="3"/>
  <c r="N107" i="3"/>
  <c r="N125" i="3"/>
  <c r="O110" i="3"/>
  <c r="P116" i="3"/>
  <c r="T123" i="3"/>
  <c r="P125" i="3"/>
  <c r="S109" i="3"/>
  <c r="R111" i="3"/>
  <c r="U123" i="3"/>
  <c r="O111" i="3"/>
  <c r="Q120" i="3"/>
  <c r="R110" i="3"/>
  <c r="U110" i="3"/>
  <c r="S112" i="3"/>
  <c r="Q104" i="3"/>
  <c r="Q125" i="3"/>
  <c r="R105" i="3"/>
  <c r="R104" i="3"/>
  <c r="R122" i="3"/>
  <c r="O112" i="3"/>
  <c r="T110" i="3"/>
  <c r="U104" i="3"/>
  <c r="U122" i="3"/>
  <c r="R118" i="3"/>
  <c r="S106" i="3"/>
  <c r="S124" i="3"/>
  <c r="P120" i="3"/>
  <c r="U115" i="3"/>
  <c r="R108" i="3"/>
  <c r="P110" i="3"/>
  <c r="S111" i="3"/>
  <c r="T120" i="3"/>
  <c r="Q107" i="3"/>
  <c r="P112" i="3"/>
  <c r="Q124" i="3"/>
  <c r="O108" i="3"/>
  <c r="T103" i="3"/>
  <c r="T121" i="3"/>
  <c r="Q117" i="3"/>
  <c r="T114" i="3"/>
  <c r="O113" i="3"/>
  <c r="U114" i="3"/>
  <c r="P105" i="3"/>
  <c r="U118" i="3"/>
  <c r="P119" i="3"/>
  <c r="U108" i="3"/>
  <c r="N123" i="3"/>
  <c r="T124" i="3"/>
  <c r="Q116" i="3"/>
  <c r="T116" i="3"/>
  <c r="R124" i="3"/>
  <c r="R114" i="3"/>
  <c r="S117" i="3"/>
  <c r="Q111" i="3"/>
  <c r="O109" i="3"/>
  <c r="U112" i="3"/>
  <c r="N106" i="3"/>
  <c r="N124" i="3"/>
  <c r="S113" i="3"/>
  <c r="Q106" i="3"/>
  <c r="N120" i="3"/>
  <c r="N110" i="3"/>
  <c r="P122" i="3"/>
  <c r="O121" i="3"/>
  <c r="P108" i="3"/>
  <c r="N122" i="3"/>
  <c r="U119" i="3"/>
  <c r="R107" i="3"/>
  <c r="R125" i="3"/>
  <c r="O115" i="3"/>
  <c r="T113" i="3"/>
  <c r="U107" i="3"/>
  <c r="U125" i="3"/>
  <c r="R121" i="3"/>
  <c r="P123" i="3"/>
  <c r="S114" i="3"/>
  <c r="N113" i="3"/>
  <c r="S119" i="3"/>
  <c r="R106" i="3"/>
  <c r="U103" i="3"/>
  <c r="O125" i="3"/>
  <c r="T125" i="3"/>
  <c r="S108" i="3"/>
  <c r="N109" i="3"/>
  <c r="S116" i="3"/>
  <c r="O118" i="3"/>
  <c r="P115" i="3"/>
  <c r="Q109" i="3"/>
  <c r="N105" i="3"/>
  <c r="T106" i="3"/>
  <c r="O116" i="3"/>
  <c r="U121" i="3"/>
  <c r="R119" i="3"/>
  <c r="R123" i="3"/>
  <c r="N112" i="3"/>
  <c r="O124" i="3"/>
  <c r="S122" i="3"/>
  <c r="P118" i="3"/>
  <c r="Q112" i="3"/>
  <c r="N108" i="3"/>
  <c r="U111" i="3"/>
  <c r="O114" i="3"/>
  <c r="T109" i="3"/>
  <c r="Q105" i="3"/>
  <c r="Q123" i="3"/>
  <c r="N116" i="3"/>
  <c r="Q113" i="3"/>
  <c r="O119" i="3"/>
  <c r="P104" i="3"/>
  <c r="U124" i="3"/>
  <c r="R117" i="3"/>
  <c r="S120" i="3"/>
  <c r="T105" i="3"/>
  <c r="N111" i="3"/>
  <c r="O117" i="3"/>
  <c r="Q108" i="3"/>
  <c r="O104" i="3"/>
  <c r="Q118" i="3"/>
  <c r="N114" i="3"/>
  <c r="T115" i="3"/>
  <c r="T107" i="3"/>
  <c r="P117" i="3"/>
  <c r="R113" i="3"/>
  <c r="O103" i="3"/>
  <c r="S125" i="3"/>
  <c r="T119" i="3"/>
  <c r="U113" i="3"/>
  <c r="R109" i="3"/>
  <c r="U120" i="3"/>
  <c r="S115" i="3"/>
  <c r="P111" i="3"/>
  <c r="U106" i="3"/>
  <c r="Q122" i="3"/>
  <c r="R103" i="3"/>
  <c r="U105" i="3"/>
  <c r="N119" i="3"/>
  <c r="O122" i="3"/>
  <c r="P106" i="3"/>
  <c r="Q119" i="3"/>
  <c r="N104" i="3"/>
  <c r="R115" i="3"/>
  <c r="T117" i="3"/>
  <c r="N115" i="3"/>
  <c r="S104" i="3"/>
  <c r="P103" i="3"/>
  <c r="P121" i="3"/>
  <c r="Q115" i="3"/>
  <c r="T112" i="3"/>
  <c r="P107" i="3"/>
  <c r="P113" i="3"/>
  <c r="S103" i="3"/>
  <c r="R116" i="3"/>
  <c r="O106" i="3"/>
  <c r="T104" i="3"/>
  <c r="T122" i="3"/>
  <c r="U116" i="3"/>
  <c r="R112" i="3"/>
  <c r="Q110" i="3"/>
  <c r="S118" i="3"/>
  <c r="P114" i="3"/>
  <c r="U109" i="3"/>
  <c r="U117" i="3"/>
  <c r="R120" i="3"/>
  <c r="S105" i="3"/>
  <c r="S123" i="3"/>
  <c r="T111" i="3"/>
  <c r="N118" i="3"/>
  <c r="S107" i="3"/>
  <c r="P124" i="3"/>
  <c r="O120" i="3"/>
  <c r="O107" i="3"/>
  <c r="S121" i="3"/>
  <c r="T108" i="3"/>
  <c r="AM44" i="6" a="1"/>
  <c r="AI44" i="6" a="1"/>
  <c r="AH44" i="6" a="1"/>
  <c r="AL44" i="6" a="1"/>
  <c r="I63" i="4" a="1"/>
  <c r="AL44" i="6" l="1"/>
  <c r="AH44" i="6"/>
  <c r="AI44" i="6"/>
  <c r="AN44" i="6" s="1"/>
  <c r="AP44" i="6" s="1"/>
  <c r="AQ44" i="6" s="1"/>
  <c r="Z45" i="6" s="1"/>
  <c r="AM44" i="6"/>
  <c r="AO44" i="6" s="1"/>
  <c r="AO38" i="6"/>
  <c r="AP38" i="6" s="1"/>
  <c r="AQ38" i="6" s="1"/>
  <c r="Z39" i="6" s="1"/>
  <c r="I63" i="4"/>
  <c r="H64" i="4"/>
  <c r="E16" i="3"/>
  <c r="E15" i="3"/>
  <c r="E14" i="3"/>
  <c r="E13" i="3"/>
  <c r="E12" i="3"/>
  <c r="E11" i="3"/>
  <c r="AA45" i="6" a="1"/>
  <c r="AB45" i="6" a="1"/>
  <c r="AB39" i="6" a="1"/>
  <c r="AG39" i="6" a="1"/>
  <c r="AK39" i="6" a="1"/>
  <c r="AA39" i="6" a="1"/>
  <c r="AJ39" i="6" a="1"/>
  <c r="AF39" i="6" a="1"/>
  <c r="I64" i="4" a="1"/>
  <c r="AB45" i="6" l="1"/>
  <c r="AA45" i="6"/>
  <c r="AK39" i="6"/>
  <c r="AG39" i="6"/>
  <c r="AB39" i="6"/>
  <c r="AA39" i="6"/>
  <c r="AF39" i="6"/>
  <c r="AJ39" i="6"/>
  <c r="I64" i="4"/>
  <c r="H65" i="4"/>
  <c r="N20" i="1"/>
  <c r="N22" i="1"/>
  <c r="N38" i="1"/>
  <c r="N37" i="1"/>
  <c r="O18" i="1"/>
  <c r="N31" i="1"/>
  <c r="N18" i="1"/>
  <c r="AD45" i="6" a="1"/>
  <c r="AJ45" i="6" a="1"/>
  <c r="AC45" i="6" a="1"/>
  <c r="AF45" i="6" a="1"/>
  <c r="AG45" i="6" a="1"/>
  <c r="AK45" i="6" a="1"/>
  <c r="AM39" i="6" a="1"/>
  <c r="AI39" i="6" a="1"/>
  <c r="AD39" i="6" a="1"/>
  <c r="AC39" i="6" a="1"/>
  <c r="AH39" i="6" a="1"/>
  <c r="AL39" i="6" a="1"/>
  <c r="I65" i="4" a="1"/>
  <c r="AK45" i="6" l="1"/>
  <c r="AG45" i="6"/>
  <c r="AF45" i="6"/>
  <c r="AC45" i="6"/>
  <c r="AJ45" i="6"/>
  <c r="AD45" i="6"/>
  <c r="AE45" i="6" s="1"/>
  <c r="AM39" i="6"/>
  <c r="AI39" i="6"/>
  <c r="AD39" i="6"/>
  <c r="AC39" i="6"/>
  <c r="AL39" i="6"/>
  <c r="AH39" i="6"/>
  <c r="AN39" i="6"/>
  <c r="I65" i="4"/>
  <c r="H66" i="4"/>
  <c r="N27" i="1"/>
  <c r="N28" i="1" s="1"/>
  <c r="N29" i="1" s="1"/>
  <c r="N21" i="1"/>
  <c r="AM45" i="6" a="1"/>
  <c r="AI45" i="6" a="1"/>
  <c r="AH45" i="6" a="1"/>
  <c r="AL45" i="6" a="1"/>
  <c r="I66" i="4" a="1"/>
  <c r="AL45" i="6" l="1"/>
  <c r="AH45" i="6"/>
  <c r="AI45" i="6"/>
  <c r="AN45" i="6" s="1"/>
  <c r="AP45" i="6" s="1"/>
  <c r="AQ45" i="6" s="1"/>
  <c r="Z46" i="6" s="1"/>
  <c r="AM45" i="6"/>
  <c r="AO45" i="6" s="1"/>
  <c r="AE39" i="6"/>
  <c r="AO39" i="6"/>
  <c r="AP39" i="6" s="1"/>
  <c r="AQ39" i="6" s="1"/>
  <c r="Z40" i="6" s="1"/>
  <c r="I66" i="4"/>
  <c r="H67" i="4"/>
  <c r="N33" i="1"/>
  <c r="N36" i="1"/>
  <c r="N35" i="1"/>
  <c r="N34" i="1"/>
  <c r="AA46" i="6" a="1"/>
  <c r="AB46" i="6" a="1"/>
  <c r="AB40" i="6" a="1"/>
  <c r="AG40" i="6" a="1"/>
  <c r="AK40" i="6" a="1"/>
  <c r="AA40" i="6" a="1"/>
  <c r="AF40" i="6" a="1"/>
  <c r="AJ40" i="6" a="1"/>
  <c r="I67" i="4" a="1"/>
  <c r="AB46" i="6" l="1"/>
  <c r="AA46" i="6"/>
  <c r="AK40" i="6"/>
  <c r="AG40" i="6"/>
  <c r="AB40" i="6"/>
  <c r="AA40" i="6"/>
  <c r="AJ40" i="6"/>
  <c r="AF40" i="6"/>
  <c r="I67" i="4"/>
  <c r="H68" i="4"/>
  <c r="N128" i="3"/>
  <c r="N129" i="3"/>
  <c r="AD46" i="6" a="1"/>
  <c r="AF46" i="6" a="1"/>
  <c r="AC46" i="6" a="1"/>
  <c r="AJ46" i="6" a="1"/>
  <c r="AK46" i="6" a="1"/>
  <c r="AG46" i="6" a="1"/>
  <c r="AM40" i="6" a="1"/>
  <c r="AI40" i="6" a="1"/>
  <c r="AD40" i="6" a="1"/>
  <c r="AC40" i="6" a="1"/>
  <c r="AL40" i="6" a="1"/>
  <c r="AH40" i="6" a="1"/>
  <c r="I68" i="4" a="1"/>
  <c r="AG46" i="6" l="1"/>
  <c r="AK46" i="6"/>
  <c r="AJ46" i="6"/>
  <c r="AC46" i="6"/>
  <c r="AF46" i="6"/>
  <c r="AD46" i="6"/>
  <c r="AE46" i="6" s="1"/>
  <c r="AM40" i="6"/>
  <c r="AI40" i="6"/>
  <c r="AD40" i="6"/>
  <c r="AC40" i="6"/>
  <c r="AH40" i="6"/>
  <c r="AL40" i="6"/>
  <c r="I68" i="4"/>
  <c r="H69" i="4"/>
  <c r="N94" i="5"/>
  <c r="Z93" i="3"/>
  <c r="Y93" i="5"/>
  <c r="Z94" i="3"/>
  <c r="D102" i="3"/>
  <c r="Z143" i="3" s="1"/>
  <c r="AI46" i="6" a="1"/>
  <c r="AH46" i="6" a="1"/>
  <c r="AM46" i="6" a="1"/>
  <c r="AL46" i="6" a="1"/>
  <c r="X103" i="5" a="1"/>
  <c r="I69" i="4" a="1"/>
  <c r="M103" i="5" a="1"/>
  <c r="C22" i="3" a="1"/>
  <c r="AL46" i="6" l="1"/>
  <c r="AM46" i="6"/>
  <c r="AO46" i="6" s="1"/>
  <c r="AH46" i="6"/>
  <c r="AI46" i="6"/>
  <c r="AN46" i="6" s="1"/>
  <c r="AO40" i="6"/>
  <c r="AE40" i="6"/>
  <c r="AN40" i="6"/>
  <c r="AP40" i="6" s="1"/>
  <c r="I69" i="4"/>
  <c r="H70" i="4"/>
  <c r="AE112" i="5"/>
  <c r="Z123" i="5"/>
  <c r="Z105" i="5"/>
  <c r="AC109" i="5"/>
  <c r="X114" i="5"/>
  <c r="AA121" i="5"/>
  <c r="AA103" i="5"/>
  <c r="AD110" i="5"/>
  <c r="Y118" i="5"/>
  <c r="AB125" i="5"/>
  <c r="AB107" i="5"/>
  <c r="AE114" i="5"/>
  <c r="Z119" i="5"/>
  <c r="X113" i="5"/>
  <c r="Y113" i="5"/>
  <c r="AA111" i="5"/>
  <c r="AD121" i="5"/>
  <c r="AD103" i="5"/>
  <c r="Y108" i="5"/>
  <c r="AB112" i="5"/>
  <c r="AE119" i="5"/>
  <c r="AB117" i="5"/>
  <c r="Z109" i="5"/>
  <c r="AC116" i="5"/>
  <c r="X124" i="5"/>
  <c r="X106" i="5"/>
  <c r="AA113" i="5"/>
  <c r="AD117" i="5"/>
  <c r="X110" i="5"/>
  <c r="AC111" i="5"/>
  <c r="AE109" i="5"/>
  <c r="Z120" i="5"/>
  <c r="AC124" i="5"/>
  <c r="AC106" i="5"/>
  <c r="X111" i="5"/>
  <c r="AA118" i="5"/>
  <c r="AD125" i="5"/>
  <c r="AD107" i="5"/>
  <c r="Y115" i="5"/>
  <c r="AB122" i="5"/>
  <c r="AB104" i="5"/>
  <c r="AE111" i="5"/>
  <c r="Z116" i="5"/>
  <c r="AB108" i="5"/>
  <c r="Y110" i="5"/>
  <c r="AA108" i="5"/>
  <c r="AD118" i="5"/>
  <c r="Y123" i="5"/>
  <c r="Y105" i="5"/>
  <c r="AB109" i="5"/>
  <c r="AE116" i="5"/>
  <c r="Z124" i="5"/>
  <c r="Z106" i="5"/>
  <c r="AC113" i="5"/>
  <c r="X121" i="5"/>
  <c r="X103" i="5"/>
  <c r="AA110" i="5"/>
  <c r="AD114" i="5"/>
  <c r="AB105" i="5"/>
  <c r="AC108" i="5"/>
  <c r="AE124" i="5"/>
  <c r="AE106" i="5"/>
  <c r="Z117" i="5"/>
  <c r="AC121" i="5"/>
  <c r="AC103" i="5"/>
  <c r="X108" i="5"/>
  <c r="AA115" i="5"/>
  <c r="AD122" i="5"/>
  <c r="AD104" i="5"/>
  <c r="Y112" i="5"/>
  <c r="AB119" i="5"/>
  <c r="X125" i="5"/>
  <c r="AE108" i="5"/>
  <c r="Z113" i="5"/>
  <c r="Y125" i="5"/>
  <c r="Y107" i="5"/>
  <c r="AA123" i="5"/>
  <c r="AA105" i="5"/>
  <c r="AD115" i="5"/>
  <c r="Y120" i="5"/>
  <c r="AB124" i="5"/>
  <c r="AB106" i="5"/>
  <c r="AE113" i="5"/>
  <c r="Z121" i="5"/>
  <c r="Z103" i="5"/>
  <c r="AC110" i="5"/>
  <c r="X118" i="5"/>
  <c r="AA125" i="5"/>
  <c r="AA107" i="5"/>
  <c r="AD111" i="5"/>
  <c r="AC123" i="5"/>
  <c r="AC105" i="5"/>
  <c r="AE121" i="5"/>
  <c r="AE103" i="5"/>
  <c r="Z114" i="5"/>
  <c r="AC118" i="5"/>
  <c r="X123" i="5"/>
  <c r="X105" i="5"/>
  <c r="AA112" i="5"/>
  <c r="AD119" i="5"/>
  <c r="AB120" i="5"/>
  <c r="Y109" i="5"/>
  <c r="AB116" i="5"/>
  <c r="AE123" i="5"/>
  <c r="AE105" i="5"/>
  <c r="Z110" i="5"/>
  <c r="Y122" i="5"/>
  <c r="Y104" i="5"/>
  <c r="AA120" i="5"/>
  <c r="X122" i="5"/>
  <c r="AD112" i="5"/>
  <c r="Y117" i="5"/>
  <c r="AB121" i="5"/>
  <c r="AB103" i="5"/>
  <c r="AE110" i="5"/>
  <c r="Z118" i="5"/>
  <c r="AC125" i="5"/>
  <c r="AC107" i="5"/>
  <c r="X115" i="5"/>
  <c r="AA122" i="5"/>
  <c r="AA104" i="5"/>
  <c r="AD108" i="5"/>
  <c r="AC120" i="5"/>
  <c r="X119" i="5"/>
  <c r="AE118" i="5"/>
  <c r="AB111" i="5"/>
  <c r="Z111" i="5"/>
  <c r="AC115" i="5"/>
  <c r="X120" i="5"/>
  <c r="AB123" i="5"/>
  <c r="AA109" i="5"/>
  <c r="AD116" i="5"/>
  <c r="Y124" i="5"/>
  <c r="Y106" i="5"/>
  <c r="AB113" i="5"/>
  <c r="AE120" i="5"/>
  <c r="Z125" i="5"/>
  <c r="Z107" i="5"/>
  <c r="Y119" i="5"/>
  <c r="AA117" i="5"/>
  <c r="X107" i="5"/>
  <c r="AD109" i="5"/>
  <c r="Y114" i="5"/>
  <c r="AB118" i="5"/>
  <c r="AE125" i="5"/>
  <c r="AE107" i="5"/>
  <c r="Z115" i="5"/>
  <c r="AC122" i="5"/>
  <c r="AC104" i="5"/>
  <c r="X112" i="5"/>
  <c r="AA119" i="5"/>
  <c r="AD123" i="5"/>
  <c r="AD105" i="5"/>
  <c r="AC117" i="5"/>
  <c r="AE115" i="5"/>
  <c r="X104" i="5"/>
  <c r="Z108" i="5"/>
  <c r="AC112" i="5"/>
  <c r="X117" i="5"/>
  <c r="AA124" i="5"/>
  <c r="AA106" i="5"/>
  <c r="N129" i="5" s="1"/>
  <c r="AD113" i="5"/>
  <c r="Y121" i="5"/>
  <c r="Y103" i="5"/>
  <c r="AB110" i="5"/>
  <c r="AE117" i="5"/>
  <c r="Z122" i="5"/>
  <c r="Z104" i="5"/>
  <c r="Y116" i="5"/>
  <c r="AA114" i="5"/>
  <c r="AD124" i="5"/>
  <c r="AD106" i="5"/>
  <c r="Y111" i="5"/>
  <c r="AB115" i="5"/>
  <c r="AE122" i="5"/>
  <c r="AE104" i="5"/>
  <c r="Z112" i="5"/>
  <c r="AC119" i="5"/>
  <c r="AB114" i="5"/>
  <c r="X109" i="5"/>
  <c r="AA116" i="5"/>
  <c r="AD120" i="5"/>
  <c r="X116" i="5"/>
  <c r="AC114" i="5"/>
  <c r="Q125" i="5"/>
  <c r="Q107" i="5"/>
  <c r="P116" i="5"/>
  <c r="O122" i="5"/>
  <c r="O104" i="5"/>
  <c r="R108" i="5"/>
  <c r="M116" i="5"/>
  <c r="T121" i="5"/>
  <c r="T103" i="5"/>
  <c r="O111" i="5"/>
  <c r="N117" i="5"/>
  <c r="M123" i="5"/>
  <c r="M105" i="5"/>
  <c r="P112" i="5"/>
  <c r="S122" i="5"/>
  <c r="S104" i="5"/>
  <c r="M124" i="5"/>
  <c r="M106" i="5"/>
  <c r="T114" i="5"/>
  <c r="S120" i="5"/>
  <c r="N125" i="5"/>
  <c r="N107" i="5"/>
  <c r="Q114" i="5"/>
  <c r="P120" i="5"/>
  <c r="N124" i="5"/>
  <c r="S109" i="5"/>
  <c r="R115" i="5"/>
  <c r="Q121" i="5"/>
  <c r="Q103" i="5"/>
  <c r="T110" i="5"/>
  <c r="O121" i="5"/>
  <c r="O103" i="5"/>
  <c r="Q122" i="5"/>
  <c r="Q104" i="5"/>
  <c r="P113" i="5"/>
  <c r="O119" i="5"/>
  <c r="R123" i="5"/>
  <c r="R105" i="5"/>
  <c r="M113" i="5"/>
  <c r="T118" i="5"/>
  <c r="R110" i="5"/>
  <c r="O108" i="5"/>
  <c r="N114" i="5"/>
  <c r="M120" i="5"/>
  <c r="R113" i="5"/>
  <c r="P109" i="5"/>
  <c r="S119" i="5"/>
  <c r="N121" i="5"/>
  <c r="M121" i="5"/>
  <c r="M103" i="5"/>
  <c r="T111" i="5"/>
  <c r="S117" i="5"/>
  <c r="N122" i="5"/>
  <c r="N104" i="5"/>
  <c r="Q111" i="5"/>
  <c r="P117" i="5"/>
  <c r="S124" i="5"/>
  <c r="S106" i="5"/>
  <c r="R112" i="5"/>
  <c r="Q118" i="5"/>
  <c r="T125" i="5"/>
  <c r="T107" i="5"/>
  <c r="O118" i="5"/>
  <c r="N109" i="5"/>
  <c r="Q119" i="5"/>
  <c r="R116" i="5"/>
  <c r="P110" i="5"/>
  <c r="O116" i="5"/>
  <c r="R120" i="5"/>
  <c r="R125" i="5"/>
  <c r="M110" i="5"/>
  <c r="T115" i="5"/>
  <c r="O123" i="5"/>
  <c r="O105" i="5"/>
  <c r="N111" i="5"/>
  <c r="M117" i="5"/>
  <c r="P124" i="5"/>
  <c r="P106" i="5"/>
  <c r="N133" i="5" s="1"/>
  <c r="Z136" i="5" s="1"/>
  <c r="S116" i="5"/>
  <c r="M118" i="5"/>
  <c r="R104" i="5"/>
  <c r="T108" i="5"/>
  <c r="S114" i="5"/>
  <c r="N119" i="5"/>
  <c r="N106" i="5"/>
  <c r="Q108" i="5"/>
  <c r="P114" i="5"/>
  <c r="S121" i="5"/>
  <c r="S103" i="5"/>
  <c r="R109" i="5"/>
  <c r="Q115" i="5"/>
  <c r="T122" i="5"/>
  <c r="T104" i="5"/>
  <c r="O115" i="5"/>
  <c r="Q116" i="5"/>
  <c r="P125" i="5"/>
  <c r="P107" i="5"/>
  <c r="O113" i="5"/>
  <c r="R117" i="5"/>
  <c r="M125" i="5"/>
  <c r="M107" i="5"/>
  <c r="T112" i="5"/>
  <c r="O120" i="5"/>
  <c r="N112" i="5"/>
  <c r="N108" i="5"/>
  <c r="M114" i="5"/>
  <c r="P121" i="5"/>
  <c r="P103" i="5"/>
  <c r="S113" i="5"/>
  <c r="M115" i="5"/>
  <c r="T123" i="5"/>
  <c r="T105" i="5"/>
  <c r="S111" i="5"/>
  <c r="N116" i="5"/>
  <c r="Q123" i="5"/>
  <c r="Q105" i="5"/>
  <c r="P111" i="5"/>
  <c r="S118" i="5"/>
  <c r="R124" i="5"/>
  <c r="R106" i="5"/>
  <c r="Q112" i="5"/>
  <c r="T119" i="5"/>
  <c r="R122" i="5"/>
  <c r="O112" i="5"/>
  <c r="Q113" i="5"/>
  <c r="P122" i="5"/>
  <c r="P104" i="5"/>
  <c r="O110" i="5"/>
  <c r="R114" i="5"/>
  <c r="M122" i="5"/>
  <c r="M104" i="5"/>
  <c r="T109" i="5"/>
  <c r="O117" i="5"/>
  <c r="N123" i="5"/>
  <c r="N105" i="5"/>
  <c r="M111" i="5"/>
  <c r="P118" i="5"/>
  <c r="N115" i="5"/>
  <c r="S110" i="5"/>
  <c r="M112" i="5"/>
  <c r="T120" i="5"/>
  <c r="N103" i="5"/>
  <c r="S108" i="5"/>
  <c r="N113" i="5"/>
  <c r="Q120" i="5"/>
  <c r="N118" i="5"/>
  <c r="P108" i="5"/>
  <c r="S115" i="5"/>
  <c r="R121" i="5"/>
  <c r="R103" i="5"/>
  <c r="Q109" i="5"/>
  <c r="T116" i="5"/>
  <c r="R107" i="5"/>
  <c r="O109" i="5"/>
  <c r="Q110" i="5"/>
  <c r="P119" i="5"/>
  <c r="O125" i="5"/>
  <c r="N128" i="5" s="1"/>
  <c r="O107" i="5"/>
  <c r="R111" i="5"/>
  <c r="M119" i="5"/>
  <c r="T124" i="5"/>
  <c r="T106" i="5"/>
  <c r="O114" i="5"/>
  <c r="N120" i="5"/>
  <c r="R119" i="5"/>
  <c r="M108" i="5"/>
  <c r="P115" i="5"/>
  <c r="S125" i="5"/>
  <c r="S107" i="5"/>
  <c r="M109" i="5"/>
  <c r="T117" i="5"/>
  <c r="S123" i="5"/>
  <c r="S105" i="5"/>
  <c r="N110" i="5"/>
  <c r="Q117" i="5"/>
  <c r="P123" i="5"/>
  <c r="P105" i="5"/>
  <c r="S112" i="5"/>
  <c r="R118" i="5"/>
  <c r="Q124" i="5"/>
  <c r="Q106" i="5"/>
  <c r="T113" i="5"/>
  <c r="O124" i="5"/>
  <c r="O106" i="5"/>
  <c r="N132" i="5" s="1"/>
  <c r="C22" i="3"/>
  <c r="D96" i="3" s="1"/>
  <c r="I70" i="4" a="1"/>
  <c r="AP46" i="6" l="1"/>
  <c r="AQ46" i="6" s="1"/>
  <c r="Z47" i="6" s="1"/>
  <c r="AQ40" i="6"/>
  <c r="I70" i="4"/>
  <c r="H71" i="4"/>
  <c r="C34" i="3"/>
  <c r="D93" i="3"/>
  <c r="AB47" i="6" a="1"/>
  <c r="AA47" i="6" a="1"/>
  <c r="I71" i="4" a="1"/>
  <c r="C103" i="3" a="1"/>
  <c r="AA47" i="6" l="1"/>
  <c r="AB47" i="6"/>
  <c r="I71" i="4"/>
  <c r="H72" i="4"/>
  <c r="F103" i="3"/>
  <c r="J104" i="3"/>
  <c r="F106" i="3"/>
  <c r="J107" i="3"/>
  <c r="F109" i="3"/>
  <c r="J110" i="3"/>
  <c r="F112" i="3"/>
  <c r="J113" i="3"/>
  <c r="F115" i="3"/>
  <c r="J116" i="3"/>
  <c r="F118" i="3"/>
  <c r="J119" i="3"/>
  <c r="F121" i="3"/>
  <c r="J122" i="3"/>
  <c r="F124" i="3"/>
  <c r="J125" i="3"/>
  <c r="G106" i="3"/>
  <c r="C111" i="3"/>
  <c r="C114" i="3"/>
  <c r="C117" i="3"/>
  <c r="C120" i="3"/>
  <c r="C123" i="3"/>
  <c r="H107" i="3"/>
  <c r="H122" i="3"/>
  <c r="I116" i="3"/>
  <c r="G103" i="3"/>
  <c r="C105" i="3"/>
  <c r="C108" i="3"/>
  <c r="G109" i="3"/>
  <c r="G112" i="3"/>
  <c r="G115" i="3"/>
  <c r="G118" i="3"/>
  <c r="G121" i="3"/>
  <c r="G124" i="3"/>
  <c r="J117" i="3"/>
  <c r="C103" i="3"/>
  <c r="G110" i="3"/>
  <c r="C121" i="3"/>
  <c r="G125" i="3"/>
  <c r="D118" i="3"/>
  <c r="I104" i="3"/>
  <c r="I110" i="3"/>
  <c r="E124" i="3"/>
  <c r="H103" i="3"/>
  <c r="D105" i="3"/>
  <c r="H106" i="3"/>
  <c r="D108" i="3"/>
  <c r="H109" i="3"/>
  <c r="D111" i="3"/>
  <c r="H112" i="3"/>
  <c r="D114" i="3"/>
  <c r="H115" i="3"/>
  <c r="D117" i="3"/>
  <c r="H118" i="3"/>
  <c r="D120" i="3"/>
  <c r="H121" i="3"/>
  <c r="D123" i="3"/>
  <c r="H124" i="3"/>
  <c r="I103" i="3"/>
  <c r="E105" i="3"/>
  <c r="I106" i="3"/>
  <c r="I109" i="3"/>
  <c r="E111" i="3"/>
  <c r="E114" i="3"/>
  <c r="I115" i="3"/>
  <c r="E120" i="3"/>
  <c r="E123" i="3"/>
  <c r="E108" i="3"/>
  <c r="I112" i="3"/>
  <c r="E117" i="3"/>
  <c r="I118" i="3"/>
  <c r="I121" i="3"/>
  <c r="I124" i="3"/>
  <c r="F116" i="3"/>
  <c r="G104" i="3"/>
  <c r="G116" i="3"/>
  <c r="D112" i="3"/>
  <c r="I107" i="3"/>
  <c r="I113" i="3"/>
  <c r="I125" i="3"/>
  <c r="J103" i="3"/>
  <c r="F105" i="3"/>
  <c r="J106" i="3"/>
  <c r="F108" i="3"/>
  <c r="J109" i="3"/>
  <c r="F111" i="3"/>
  <c r="J112" i="3"/>
  <c r="F114" i="3"/>
  <c r="J115" i="3"/>
  <c r="F117" i="3"/>
  <c r="J118" i="3"/>
  <c r="F120" i="3"/>
  <c r="J121" i="3"/>
  <c r="F123" i="3"/>
  <c r="J124" i="3"/>
  <c r="C116" i="3"/>
  <c r="C119" i="3"/>
  <c r="C122" i="3"/>
  <c r="C125" i="3"/>
  <c r="H120" i="3"/>
  <c r="D125" i="3"/>
  <c r="I120" i="3"/>
  <c r="E125" i="3"/>
  <c r="C128" i="3" s="1"/>
  <c r="F110" i="3"/>
  <c r="F119" i="3"/>
  <c r="F125" i="3"/>
  <c r="C115" i="3"/>
  <c r="C124" i="3"/>
  <c r="H119" i="3"/>
  <c r="E106" i="3"/>
  <c r="E112" i="3"/>
  <c r="I122" i="3"/>
  <c r="C104" i="3"/>
  <c r="G105" i="3"/>
  <c r="C107" i="3"/>
  <c r="G108" i="3"/>
  <c r="C110" i="3"/>
  <c r="G111" i="3"/>
  <c r="C113" i="3"/>
  <c r="G114" i="3"/>
  <c r="G117" i="3"/>
  <c r="G120" i="3"/>
  <c r="G123" i="3"/>
  <c r="D122" i="3"/>
  <c r="E122" i="3"/>
  <c r="J105" i="3"/>
  <c r="J111" i="3"/>
  <c r="J114" i="3"/>
  <c r="F122" i="3"/>
  <c r="C106" i="3"/>
  <c r="C109" i="3"/>
  <c r="C118" i="3"/>
  <c r="D115" i="3"/>
  <c r="D124" i="3"/>
  <c r="I119" i="3"/>
  <c r="D104" i="3"/>
  <c r="H105" i="3"/>
  <c r="D107" i="3"/>
  <c r="H108" i="3"/>
  <c r="D110" i="3"/>
  <c r="H111" i="3"/>
  <c r="D113" i="3"/>
  <c r="H114" i="3"/>
  <c r="D116" i="3"/>
  <c r="H117" i="3"/>
  <c r="D119" i="3"/>
  <c r="H123" i="3"/>
  <c r="I123" i="3"/>
  <c r="F104" i="3"/>
  <c r="J108" i="3"/>
  <c r="F113" i="3"/>
  <c r="J120" i="3"/>
  <c r="G107" i="3"/>
  <c r="C112" i="3"/>
  <c r="G119" i="3"/>
  <c r="H113" i="3"/>
  <c r="H125" i="3"/>
  <c r="E118" i="3"/>
  <c r="E104" i="3"/>
  <c r="I105" i="3"/>
  <c r="E107" i="3"/>
  <c r="I108" i="3"/>
  <c r="E110" i="3"/>
  <c r="I111" i="3"/>
  <c r="E113" i="3"/>
  <c r="I114" i="3"/>
  <c r="E116" i="3"/>
  <c r="I117" i="3"/>
  <c r="E119" i="3"/>
  <c r="F107" i="3"/>
  <c r="J123" i="3"/>
  <c r="G113" i="3"/>
  <c r="G122" i="3"/>
  <c r="D109" i="3"/>
  <c r="D121" i="3"/>
  <c r="E115" i="3"/>
  <c r="D103" i="3"/>
  <c r="H104" i="3"/>
  <c r="D106" i="3"/>
  <c r="H110" i="3"/>
  <c r="H116" i="3"/>
  <c r="E109" i="3"/>
  <c r="E121" i="3"/>
  <c r="E103" i="3"/>
  <c r="AC47" i="6" a="1"/>
  <c r="AD47" i="6" a="1"/>
  <c r="AG47" i="6" a="1"/>
  <c r="AK47" i="6" a="1"/>
  <c r="AF47" i="6" a="1"/>
  <c r="AJ47" i="6" a="1"/>
  <c r="C132" i="5" a="1"/>
  <c r="C132" i="3" a="1"/>
  <c r="I72" i="4" a="1"/>
  <c r="AJ47" i="6" l="1"/>
  <c r="AF47" i="6"/>
  <c r="AK47" i="6"/>
  <c r="AG47" i="6"/>
  <c r="AD47" i="6"/>
  <c r="AE47" i="6" s="1"/>
  <c r="AC47" i="6"/>
  <c r="I72" i="4"/>
  <c r="H73" i="4"/>
  <c r="C132" i="5"/>
  <c r="C132" i="3"/>
  <c r="C137" i="5" s="1"/>
  <c r="AL47" i="6" a="1"/>
  <c r="AI47" i="6" a="1"/>
  <c r="AH47" i="6" a="1"/>
  <c r="AM47" i="6" a="1"/>
  <c r="C24" i="3" a="1"/>
  <c r="I73" i="4" a="1"/>
  <c r="AM47" i="6" l="1"/>
  <c r="AH47" i="6"/>
  <c r="AI47" i="6"/>
  <c r="AN47" i="6" s="1"/>
  <c r="AL47" i="6"/>
  <c r="I73" i="4"/>
  <c r="H74" i="4"/>
  <c r="C24" i="3"/>
  <c r="C137" i="3"/>
  <c r="I74" i="4" a="1"/>
  <c r="AO47" i="6" l="1"/>
  <c r="AP47" i="6" s="1"/>
  <c r="AQ47" i="6" s="1"/>
  <c r="I74" i="4"/>
  <c r="H75" i="4"/>
  <c r="Z96" i="3"/>
  <c r="Z134" i="3"/>
  <c r="Y103" i="3" a="1"/>
  <c r="I75" i="4" a="1"/>
  <c r="O60" i="4" a="1"/>
  <c r="O60" i="4" l="1"/>
  <c r="I75" i="4"/>
  <c r="Y115" i="3"/>
  <c r="AF120" i="3"/>
  <c r="Z115" i="3"/>
  <c r="AA103" i="3"/>
  <c r="AA121" i="3"/>
  <c r="AB121" i="3"/>
  <c r="Y113" i="3"/>
  <c r="AB120" i="3"/>
  <c r="Z119" i="3"/>
  <c r="AE103" i="3"/>
  <c r="AE124" i="3"/>
  <c r="AB113" i="3"/>
  <c r="Y111" i="3"/>
  <c r="Z108" i="3"/>
  <c r="AE110" i="3"/>
  <c r="AD119" i="3"/>
  <c r="Z118" i="3"/>
  <c r="AA106" i="3"/>
  <c r="Y128" i="3" s="1"/>
  <c r="AA124" i="3"/>
  <c r="AF104" i="3"/>
  <c r="Z104" i="3"/>
  <c r="Z122" i="3"/>
  <c r="AE106" i="3"/>
  <c r="AB119" i="3"/>
  <c r="AF118" i="3"/>
  <c r="Y114" i="3"/>
  <c r="AE113" i="3"/>
  <c r="AC120" i="3"/>
  <c r="AE108" i="3"/>
  <c r="AC125" i="3"/>
  <c r="AC118" i="3"/>
  <c r="AD124" i="3"/>
  <c r="AB125" i="3"/>
  <c r="AC116" i="3"/>
  <c r="AA114" i="3"/>
  <c r="Z103" i="3"/>
  <c r="Z121" i="3"/>
  <c r="AD125" i="3"/>
  <c r="Y119" i="3"/>
  <c r="Z125" i="3"/>
  <c r="AC122" i="3"/>
  <c r="Y117" i="3"/>
  <c r="AB106" i="3"/>
  <c r="Y129" i="3" s="1"/>
  <c r="Z136" i="3" s="1"/>
  <c r="Y107" i="3"/>
  <c r="AF115" i="3"/>
  <c r="AC111" i="3"/>
  <c r="AA125" i="3"/>
  <c r="AD104" i="3"/>
  <c r="AA120" i="3"/>
  <c r="Z105" i="3"/>
  <c r="AB118" i="3"/>
  <c r="AC117" i="3"/>
  <c r="AF123" i="3"/>
  <c r="AD117" i="3"/>
  <c r="AE105" i="3"/>
  <c r="AE123" i="3"/>
  <c r="AD122" i="3"/>
  <c r="AC115" i="3"/>
  <c r="AD103" i="3"/>
  <c r="AD121" i="3"/>
  <c r="AA104" i="3"/>
  <c r="AF112" i="3"/>
  <c r="AB116" i="3"/>
  <c r="AC113" i="3"/>
  <c r="AD110" i="3"/>
  <c r="AA111" i="3"/>
  <c r="Y116" i="3"/>
  <c r="Z111" i="3"/>
  <c r="AE122" i="3"/>
  <c r="AB114" i="3"/>
  <c r="AD106" i="3"/>
  <c r="AA107" i="3"/>
  <c r="AF121" i="3"/>
  <c r="AD113" i="3"/>
  <c r="Y121" i="3"/>
  <c r="AA109" i="3"/>
  <c r="AF125" i="3"/>
  <c r="Z107" i="3"/>
  <c r="AE109" i="3"/>
  <c r="Y123" i="3"/>
  <c r="Z114" i="3"/>
  <c r="Z109" i="3"/>
  <c r="Y125" i="3"/>
  <c r="AF122" i="3"/>
  <c r="AF111" i="3"/>
  <c r="AF106" i="3"/>
  <c r="AB115" i="3"/>
  <c r="Y108" i="3"/>
  <c r="AC114" i="3"/>
  <c r="AC110" i="3"/>
  <c r="Y118" i="3"/>
  <c r="Y112" i="3"/>
  <c r="Y110" i="3"/>
  <c r="AC119" i="3"/>
  <c r="AD120" i="3"/>
  <c r="AF114" i="3"/>
  <c r="AE118" i="3"/>
  <c r="AF107" i="3"/>
  <c r="Y103" i="3"/>
  <c r="AA117" i="3"/>
  <c r="Z112" i="3"/>
  <c r="Z116" i="3"/>
  <c r="AE121" i="3"/>
  <c r="AC105" i="3"/>
  <c r="AC123" i="3"/>
  <c r="AD105" i="3"/>
  <c r="AD123" i="3"/>
  <c r="AE111" i="3"/>
  <c r="AE119" i="3"/>
  <c r="AC103" i="3"/>
  <c r="AC121" i="3"/>
  <c r="AD109" i="3"/>
  <c r="AA119" i="3"/>
  <c r="AA110" i="3"/>
  <c r="Z120" i="3"/>
  <c r="AB108" i="3"/>
  <c r="Y120" i="3"/>
  <c r="AD116" i="3"/>
  <c r="AA123" i="3"/>
  <c r="Y106" i="3"/>
  <c r="Y124" i="3"/>
  <c r="Z106" i="3"/>
  <c r="Z124" i="3"/>
  <c r="AA112" i="3"/>
  <c r="AF113" i="3"/>
  <c r="Y104" i="3"/>
  <c r="Y122" i="3"/>
  <c r="Z110" i="3"/>
  <c r="AA122" i="3"/>
  <c r="AE112" i="3"/>
  <c r="AB105" i="3"/>
  <c r="AE116" i="3"/>
  <c r="Z117" i="3"/>
  <c r="AF110" i="3"/>
  <c r="AB112" i="3"/>
  <c r="AC106" i="3"/>
  <c r="AD112" i="3"/>
  <c r="AA113" i="3"/>
  <c r="AC104" i="3"/>
  <c r="AB111" i="3"/>
  <c r="AB117" i="3"/>
  <c r="AB109" i="3"/>
  <c r="Z113" i="3"/>
  <c r="AE104" i="3"/>
  <c r="AC109" i="3"/>
  <c r="AA116" i="3"/>
  <c r="AA118" i="3"/>
  <c r="AE107" i="3"/>
  <c r="AC112" i="3"/>
  <c r="AF119" i="3"/>
  <c r="AB124" i="3"/>
  <c r="AB104" i="3"/>
  <c r="AF108" i="3"/>
  <c r="AE117" i="3"/>
  <c r="AF124" i="3"/>
  <c r="AA105" i="3"/>
  <c r="AF109" i="3"/>
  <c r="AB123" i="3"/>
  <c r="AC108" i="3"/>
  <c r="AF105" i="3"/>
  <c r="AD108" i="3"/>
  <c r="AE114" i="3"/>
  <c r="AB103" i="3"/>
  <c r="AC124" i="3"/>
  <c r="AB107" i="3"/>
  <c r="AF103" i="3"/>
  <c r="AF116" i="3"/>
  <c r="AA115" i="3"/>
  <c r="Y105" i="3"/>
  <c r="Z123" i="3"/>
  <c r="AD115" i="3"/>
  <c r="AC107" i="3"/>
  <c r="AB122" i="3"/>
  <c r="AD114" i="3"/>
  <c r="AA108" i="3"/>
  <c r="Y109" i="3"/>
  <c r="AE115" i="3"/>
  <c r="AE125" i="3"/>
  <c r="AF117" i="3"/>
  <c r="AD107" i="3"/>
  <c r="AD111" i="3"/>
  <c r="AD118" i="3"/>
  <c r="AB110" i="3"/>
  <c r="AE120" i="3"/>
  <c r="O61" i="4" a="1"/>
  <c r="O61" i="4" l="1"/>
  <c r="Z135" i="5"/>
  <c r="C33" i="5"/>
  <c r="Z135" i="3"/>
  <c r="Z144" i="5" a="1"/>
  <c r="I77" i="4" a="1"/>
  <c r="Z144" i="3" a="1"/>
  <c r="I77" i="4" l="1"/>
  <c r="AI145" i="5"/>
  <c r="AC145" i="5"/>
  <c r="AH144" i="5"/>
  <c r="AB144" i="5"/>
  <c r="AG144" i="5"/>
  <c r="AA144" i="5"/>
  <c r="AB145" i="5"/>
  <c r="AG145" i="5"/>
  <c r="AA145" i="5"/>
  <c r="AF144" i="5"/>
  <c r="Z144" i="5"/>
  <c r="AD145" i="5"/>
  <c r="AF145" i="5"/>
  <c r="AD144" i="5"/>
  <c r="AH145" i="5"/>
  <c r="AE144" i="5"/>
  <c r="AE145" i="5"/>
  <c r="AJ144" i="5"/>
  <c r="AJ145" i="5"/>
  <c r="AI144" i="5"/>
  <c r="Z145" i="5"/>
  <c r="AC144" i="5"/>
  <c r="AB144" i="3"/>
  <c r="AG144" i="3"/>
  <c r="Z145" i="3"/>
  <c r="AE145" i="3"/>
  <c r="AC144" i="3"/>
  <c r="Z144" i="3"/>
  <c r="AJ144" i="3"/>
  <c r="AA145" i="3"/>
  <c r="AD145" i="3"/>
  <c r="AF144" i="3"/>
  <c r="AH145" i="3"/>
  <c r="AA144" i="3"/>
  <c r="AE144" i="3"/>
  <c r="AI145" i="3"/>
  <c r="AD144" i="3"/>
  <c r="AB145" i="3"/>
  <c r="AG145" i="3"/>
  <c r="AJ145" i="3"/>
  <c r="AF145" i="3"/>
  <c r="AI144" i="3"/>
  <c r="AC145" i="3"/>
  <c r="AH144" i="3"/>
  <c r="I78" i="4" a="1"/>
  <c r="I78" i="4" l="1"/>
  <c r="Y95" i="4"/>
  <c r="Z148" i="3"/>
  <c r="Z148" i="5"/>
  <c r="Z134" i="4"/>
  <c r="G33" i="3" l="1"/>
  <c r="G34" i="3" s="1"/>
  <c r="G33" i="5"/>
  <c r="G34" i="5" s="1"/>
  <c r="N128" i="4" l="1"/>
  <c r="Y93" i="4" s="1"/>
  <c r="N133" i="4"/>
  <c r="Z136" i="4" s="1"/>
  <c r="N132" i="4"/>
  <c r="X103" i="4" a="1"/>
  <c r="X124" i="4" l="1"/>
  <c r="AE110" i="4"/>
  <c r="AA124" i="4"/>
  <c r="Y113" i="4"/>
  <c r="AE118" i="4"/>
  <c r="X125" i="4"/>
  <c r="AB123" i="4"/>
  <c r="AA113" i="4"/>
  <c r="AE119" i="4"/>
  <c r="AC110" i="4"/>
  <c r="AA108" i="4"/>
  <c r="AC104" i="4"/>
  <c r="Y109" i="4"/>
  <c r="AE113" i="4"/>
  <c r="X115" i="4"/>
  <c r="AC109" i="4"/>
  <c r="AA104" i="4"/>
  <c r="AD117" i="4"/>
  <c r="Z125" i="4"/>
  <c r="AB107" i="4"/>
  <c r="Y114" i="4"/>
  <c r="AA125" i="4"/>
  <c r="AA107" i="4"/>
  <c r="Y115" i="4"/>
  <c r="AB105" i="4"/>
  <c r="X114" i="4"/>
  <c r="Z113" i="4"/>
  <c r="AC119" i="4"/>
  <c r="AD112" i="4"/>
  <c r="AE106" i="4"/>
  <c r="AC118" i="4"/>
  <c r="Z104" i="4"/>
  <c r="AA103" i="4"/>
  <c r="AB109" i="4"/>
  <c r="AD104" i="4"/>
  <c r="AC114" i="4"/>
  <c r="AD109" i="4"/>
  <c r="Z111" i="4"/>
  <c r="X103" i="4"/>
  <c r="AD116" i="4"/>
  <c r="Y119" i="4"/>
  <c r="AC103" i="4"/>
  <c r="AD120" i="4"/>
  <c r="AB104" i="4"/>
  <c r="X121" i="4"/>
  <c r="AB119" i="4"/>
  <c r="Z107" i="4"/>
  <c r="AE112" i="4"/>
  <c r="AA118" i="4"/>
  <c r="AD106" i="4"/>
  <c r="AC124" i="4"/>
  <c r="AE111" i="4"/>
  <c r="AB113" i="4"/>
  <c r="Y112" i="4"/>
  <c r="AD107" i="4"/>
  <c r="Y108" i="4"/>
  <c r="AD115" i="4"/>
  <c r="X105" i="4"/>
  <c r="AE114" i="4"/>
  <c r="AB115" i="4"/>
  <c r="AA111" i="4"/>
  <c r="AB108" i="4"/>
  <c r="AB110" i="4"/>
  <c r="AB125" i="4"/>
  <c r="AD122" i="4"/>
  <c r="AC123" i="4"/>
  <c r="X110" i="4"/>
  <c r="AC111" i="4"/>
  <c r="Z109" i="4"/>
  <c r="AE123" i="4"/>
  <c r="Y125" i="4"/>
  <c r="AC107" i="4"/>
  <c r="X109" i="4"/>
  <c r="AA110" i="4"/>
  <c r="AB116" i="4"/>
  <c r="AA116" i="4"/>
  <c r="AB114" i="4"/>
  <c r="Y116" i="4"/>
  <c r="AE117" i="4"/>
  <c r="AE121" i="4"/>
  <c r="AD113" i="4"/>
  <c r="Z119" i="4"/>
  <c r="X120" i="4"/>
  <c r="AE109" i="4"/>
  <c r="X104" i="4"/>
  <c r="AB122" i="4"/>
  <c r="Z117" i="4"/>
  <c r="AE103" i="4"/>
  <c r="X123" i="4"/>
  <c r="AE115" i="4"/>
  <c r="Z116" i="4"/>
  <c r="Z114" i="4"/>
  <c r="AA109" i="4"/>
  <c r="AE108" i="4"/>
  <c r="AE122" i="4"/>
  <c r="AC125" i="4"/>
  <c r="Z120" i="4"/>
  <c r="Y123" i="4"/>
  <c r="AC115" i="4"/>
  <c r="AB112" i="4"/>
  <c r="Y104" i="4"/>
  <c r="Z118" i="4"/>
  <c r="Y120" i="4"/>
  <c r="Z115" i="4"/>
  <c r="Z110" i="4"/>
  <c r="AA114" i="4"/>
  <c r="AA105" i="4"/>
  <c r="AD124" i="4"/>
  <c r="Y117" i="4"/>
  <c r="AB120" i="4"/>
  <c r="AD114" i="4"/>
  <c r="AA112" i="4"/>
  <c r="Z105" i="4"/>
  <c r="AD103" i="4"/>
  <c r="Z112" i="4"/>
  <c r="AA119" i="4"/>
  <c r="Y111" i="4"/>
  <c r="AA123" i="4"/>
  <c r="AA115" i="4"/>
  <c r="X119" i="4"/>
  <c r="AC108" i="4"/>
  <c r="X122" i="4"/>
  <c r="AC105" i="4"/>
  <c r="AD110" i="4"/>
  <c r="AC116" i="4"/>
  <c r="AB124" i="4"/>
  <c r="X111" i="4"/>
  <c r="X117" i="4"/>
  <c r="Z122" i="4"/>
  <c r="AE116" i="4"/>
  <c r="X112" i="4"/>
  <c r="AE120" i="4"/>
  <c r="Y110" i="4"/>
  <c r="Y118" i="4"/>
  <c r="AA120" i="4"/>
  <c r="AE105" i="4"/>
  <c r="AA106" i="4"/>
  <c r="N129" i="4" s="1"/>
  <c r="AD111" i="4"/>
  <c r="X108" i="4"/>
  <c r="AE104" i="4"/>
  <c r="AC121" i="4"/>
  <c r="AC120" i="4"/>
  <c r="X107" i="4"/>
  <c r="X118" i="4"/>
  <c r="AD119" i="4"/>
  <c r="AD108" i="4"/>
  <c r="AC106" i="4"/>
  <c r="AB121" i="4"/>
  <c r="Y103" i="4"/>
  <c r="AA122" i="4"/>
  <c r="X106" i="4"/>
  <c r="Y122" i="4"/>
  <c r="X113" i="4"/>
  <c r="AE124" i="4"/>
  <c r="Z108" i="4"/>
  <c r="AB106" i="4"/>
  <c r="AD105" i="4"/>
  <c r="AE125" i="4"/>
  <c r="AC113" i="4"/>
  <c r="Y121" i="4"/>
  <c r="Z123" i="4"/>
  <c r="Y105" i="4"/>
  <c r="Z106" i="4"/>
  <c r="Z121" i="4"/>
  <c r="AC122" i="4"/>
  <c r="AA121" i="4"/>
  <c r="AC117" i="4"/>
  <c r="AD121" i="4"/>
  <c r="Y124" i="4"/>
  <c r="X116" i="4"/>
  <c r="AD118" i="4"/>
  <c r="AD123" i="4"/>
  <c r="Z103" i="4"/>
  <c r="AB111" i="4"/>
  <c r="AB103" i="4"/>
  <c r="AB117" i="4"/>
  <c r="AA117" i="4"/>
  <c r="AB118" i="4"/>
  <c r="Y107" i="4"/>
  <c r="AC112" i="4"/>
  <c r="Z124" i="4"/>
  <c r="AE107" i="4"/>
  <c r="Y106" i="4"/>
  <c r="AD125" i="4"/>
  <c r="C33" i="4"/>
  <c r="Z135" i="4"/>
  <c r="Z144" i="4" a="1"/>
  <c r="C132" i="4" a="1"/>
  <c r="AE144" i="4" l="1"/>
  <c r="AH145" i="4"/>
  <c r="AF144" i="4"/>
  <c r="AI145" i="4"/>
  <c r="AD144" i="4"/>
  <c r="AF145" i="4"/>
  <c r="Z144" i="4"/>
  <c r="Z148" i="4" s="1"/>
  <c r="G33" i="4" s="1"/>
  <c r="G34" i="4" s="1"/>
  <c r="AG144" i="4"/>
  <c r="AB145" i="4"/>
  <c r="AA144" i="4"/>
  <c r="AE145" i="4"/>
  <c r="AA145" i="4"/>
  <c r="Z145" i="4"/>
  <c r="AC144" i="4"/>
  <c r="AJ144" i="4"/>
  <c r="AC145" i="4"/>
  <c r="AD145" i="4"/>
  <c r="AH144" i="4"/>
  <c r="AI144" i="4"/>
  <c r="AG145" i="4"/>
  <c r="AJ145" i="4"/>
  <c r="AB144" i="4"/>
  <c r="C132" i="4"/>
  <c r="C137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<sst xmlns="http://schemas.openxmlformats.org/spreadsheetml/2006/main" count="668" uniqueCount="191">
  <si>
    <t>Pу</t>
  </si>
  <si>
    <t>ΔPкл</t>
  </si>
  <si>
    <t>Hк(i-1)</t>
  </si>
  <si>
    <t>Pку</t>
  </si>
  <si>
    <t>Максимальное давление на компрессоре, МПа</t>
  </si>
  <si>
    <t>Давление на устье, МПа</t>
  </si>
  <si>
    <t>Глубина установки последнего клапана, м</t>
  </si>
  <si>
    <t>Свойства газа:</t>
  </si>
  <si>
    <t>Плотность в нормальных условиях, кг/м3</t>
  </si>
  <si>
    <t>Коэффициент сжимаемости</t>
  </si>
  <si>
    <r>
      <rPr>
        <sz val="11"/>
        <color theme="1"/>
        <rFont val="Calibri"/>
        <family val="2"/>
        <charset val="204"/>
      </rPr>
      <t>ρ</t>
    </r>
    <r>
      <rPr>
        <vertAlign val="subscript"/>
        <sz val="11"/>
        <color theme="1"/>
        <rFont val="Calibri"/>
        <family val="2"/>
        <charset val="204"/>
      </rPr>
      <t>0</t>
    </r>
  </si>
  <si>
    <r>
      <t>z</t>
    </r>
    <r>
      <rPr>
        <vertAlign val="subscript"/>
        <sz val="11"/>
        <color theme="1"/>
        <rFont val="Calibri"/>
        <family val="2"/>
        <charset val="204"/>
        <scheme val="minor"/>
      </rPr>
      <t>ср</t>
    </r>
  </si>
  <si>
    <t>Плотность жидкости, кг/м3</t>
  </si>
  <si>
    <r>
      <t>ρ</t>
    </r>
    <r>
      <rPr>
        <vertAlign val="subscript"/>
        <sz val="11"/>
        <color theme="1"/>
        <rFont val="Calibri"/>
        <family val="2"/>
        <charset val="204"/>
      </rPr>
      <t>ж</t>
    </r>
  </si>
  <si>
    <t>Коэффициент поглощения, д.ед.</t>
  </si>
  <si>
    <t>Кпл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</si>
  <si>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</si>
  <si>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Потери давления на проход через отверстия, МПа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</si>
  <si>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</si>
  <si>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Диаметр НКТ внешний, м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</si>
  <si>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</si>
  <si>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Диаметр трубки ввода газа внешний, м</t>
  </si>
  <si>
    <t>Диаметр трубки ввода газа внутренний, м</t>
  </si>
  <si>
    <t>Температура на уровне клапана, С</t>
  </si>
  <si>
    <t>T</t>
  </si>
  <si>
    <t>a</t>
  </si>
  <si>
    <t>Коэффициент трения газа</t>
  </si>
  <si>
    <t>λг</t>
  </si>
  <si>
    <t>λж</t>
  </si>
  <si>
    <t>Коэффициент трения жидкости</t>
  </si>
  <si>
    <t>bг</t>
  </si>
  <si>
    <t>Расход газа, ст.м3/сут</t>
  </si>
  <si>
    <t>Qг</t>
  </si>
  <si>
    <t>vг</t>
  </si>
  <si>
    <t>ρг</t>
  </si>
  <si>
    <t>Qж</t>
  </si>
  <si>
    <t>vж</t>
  </si>
  <si>
    <t>Диаметр НКТ внутренний, м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</si>
  <si>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</si>
  <si>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bж</t>
  </si>
  <si>
    <t>c</t>
  </si>
  <si>
    <t>h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</si>
  <si>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</si>
  <si>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</si>
  <si>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</si>
  <si>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</si>
  <si>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</si>
  <si>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</si>
  <si>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</si>
  <si>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</si>
  <si>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</si>
  <si>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</si>
  <si>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</si>
  <si>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</si>
  <si>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</si>
  <si>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</si>
  <si>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м3/м3</t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</si>
  <si>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</si>
  <si>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</si>
  <si>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Номер корреляции</t>
  </si>
  <si>
    <t>Физико - химические свойства флюида   PVT</t>
  </si>
  <si>
    <t>PVT</t>
  </si>
  <si>
    <t>Параметры потока флюида</t>
  </si>
  <si>
    <t>%</t>
  </si>
  <si>
    <r>
      <t>ст.м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</si>
  <si>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</si>
  <si>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</si>
  <si>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gas free</t>
    </r>
  </si>
  <si>
    <t>Параметры скважины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</si>
  <si>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</si>
  <si>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C</t>
  </si>
  <si>
    <t>атма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</si>
  <si>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</si>
  <si>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Параметры пласта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</si>
  <si>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</si>
  <si>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PI</t>
  </si>
  <si>
    <t>м3/сут/атм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</si>
  <si>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</si>
  <si>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annulus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</si>
  <si>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gas_line</t>
    </r>
  </si>
  <si>
    <t>Конструкция скважины</t>
  </si>
  <si>
    <t>dcas</t>
  </si>
  <si>
    <t>м</t>
  </si>
  <si>
    <t>мм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</si>
  <si>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</si>
  <si>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paker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</si>
  <si>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gas_inj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</si>
  <si>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</si>
  <si>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</si>
  <si>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gas_tub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</si>
  <si>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</si>
  <si>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choke_cas</t>
    </r>
  </si>
  <si>
    <t>Инклинометрия</t>
  </si>
  <si>
    <t>MD</t>
  </si>
  <si>
    <t>TVD</t>
  </si>
  <si>
    <t>Ниже г/л клапана</t>
  </si>
  <si>
    <t>Выше г/л клапана</t>
  </si>
  <si>
    <t>Кол-во точек</t>
  </si>
  <si>
    <t>1. Расчет затрубного давления</t>
  </si>
  <si>
    <t>Pзатр</t>
  </si>
  <si>
    <t>Калибровка штуцеров</t>
  </si>
  <si>
    <t>2. Расчет давления закачки</t>
  </si>
  <si>
    <t>q_liq_sm3day</t>
  </si>
  <si>
    <t>fw_perc</t>
  </si>
  <si>
    <t>rp_m3m3</t>
  </si>
  <si>
    <t>q_gas_free_sm3day</t>
  </si>
  <si>
    <t>feed</t>
  </si>
  <si>
    <t>Диаметры</t>
  </si>
  <si>
    <t>Затруб</t>
  </si>
  <si>
    <t>GAS</t>
  </si>
  <si>
    <t>hvert, m</t>
  </si>
  <si>
    <t>ambient temperature</t>
  </si>
  <si>
    <t>t amb, C</t>
  </si>
  <si>
    <t>t model</t>
  </si>
  <si>
    <t>p_atma</t>
  </si>
  <si>
    <t>t_C</t>
  </si>
  <si>
    <t>pipe_object</t>
  </si>
  <si>
    <t>calc_along_coord</t>
  </si>
  <si>
    <t>param</t>
  </si>
  <si>
    <t>{"show_array":1}</t>
  </si>
  <si>
    <t>INCL</t>
  </si>
  <si>
    <t>CONSTR</t>
  </si>
  <si>
    <t>Давление на входе вг/л клапан</t>
  </si>
  <si>
    <t>Pкл вх</t>
  </si>
  <si>
    <t>3. Расчет забойного давления</t>
  </si>
  <si>
    <t>Pзаб</t>
  </si>
  <si>
    <t>IPR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</si>
  <si>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</si>
  <si>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4. Расчет распределения давления ниже точки закачки газа</t>
  </si>
  <si>
    <t>LIQ</t>
  </si>
  <si>
    <t>Давление на выходе г/л клапана</t>
  </si>
  <si>
    <t>Pкл вых</t>
  </si>
  <si>
    <t>Расход газа через г/л клапан</t>
  </si>
  <si>
    <t>Qgas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</si>
  <si>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GLV</t>
    </r>
  </si>
  <si>
    <t>Tвых</t>
  </si>
  <si>
    <t>5. Распределение давления выше точки закачки газа</t>
  </si>
  <si>
    <t>MIX</t>
  </si>
  <si>
    <t>Давление на устье</t>
  </si>
  <si>
    <t>Pбуф</t>
  </si>
  <si>
    <t>6. Расчет давления в линии</t>
  </si>
  <si>
    <t>choke_json</t>
  </si>
  <si>
    <t>feed_json</t>
  </si>
  <si>
    <t>p_calc_from_atma</t>
  </si>
  <si>
    <t>t_choke_C</t>
  </si>
  <si>
    <t>calc_along_flow</t>
  </si>
  <si>
    <t>show_array</t>
  </si>
  <si>
    <t>result</t>
  </si>
  <si>
    <t>Линейное давление</t>
  </si>
  <si>
    <t>Поиск решения</t>
  </si>
  <si>
    <t>Pline_calc</t>
  </si>
  <si>
    <t>Δ</t>
  </si>
  <si>
    <t>4. Распределение давления выше точки закачки газа</t>
  </si>
  <si>
    <t>5. Расчет распределения давления ниже точки закачки газа</t>
  </si>
  <si>
    <t>BH pressure, атма</t>
  </si>
  <si>
    <t>Qliq, м3/сут</t>
  </si>
  <si>
    <t>GOR</t>
  </si>
  <si>
    <t>X</t>
  </si>
  <si>
    <t>Y1</t>
  </si>
  <si>
    <t>Y2</t>
  </si>
  <si>
    <r>
      <rPr>
        <sz val="11"/>
        <color theme="1"/>
        <rFont val="Calibri"/>
        <family val="2"/>
        <charset val="204"/>
      </rPr>
      <t>Δ</t>
    </r>
    <r>
      <rPr>
        <sz val="9.9"/>
        <color theme="1"/>
        <rFont val="Calibri"/>
        <family val="2"/>
      </rPr>
      <t>Y</t>
    </r>
  </si>
  <si>
    <t>Well_name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</si>
  <si>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scheme val="minor"/>
      </rPr>
      <t>iq</t>
    </r>
  </si>
  <si>
    <t>test1</t>
  </si>
  <si>
    <t>well_name</t>
  </si>
  <si>
    <t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t>
  </si>
  <si>
    <t>[2200,2265,2330,2395,2460,2525,2590,2655,2720,2785,2850,2915,2980,3045,3110,3175,3240,3305,3370,3435,3500]</t>
  </si>
  <si>
    <t>Конструкция НКТ</t>
  </si>
  <si>
    <t>Конструкция затруб</t>
  </si>
  <si>
    <t>Конструкция wellbore</t>
  </si>
  <si>
    <t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t>
  </si>
  <si>
    <t>Забойное давление, атм</t>
  </si>
  <si>
    <t>Узловой анализ</t>
  </si>
  <si>
    <t>Максимальный дебит</t>
  </si>
  <si>
    <t>test2</t>
  </si>
  <si>
    <t>test3</t>
  </si>
  <si>
    <t>Настройки решателя</t>
  </si>
  <si>
    <t>Метод Ньютона</t>
  </si>
  <si>
    <t>Max. iteration</t>
  </si>
  <si>
    <t>Tolerance</t>
  </si>
  <si>
    <t>Pнкт</t>
  </si>
  <si>
    <t>Pзак</t>
  </si>
  <si>
    <t>delta</t>
  </si>
  <si>
    <t>Pнкт+</t>
  </si>
  <si>
    <t>Pзак+</t>
  </si>
  <si>
    <t>Pнкт-</t>
  </si>
  <si>
    <t>Pзак-</t>
  </si>
  <si>
    <t>delta+</t>
  </si>
  <si>
    <t>delta-</t>
  </si>
  <si>
    <t>dfx</t>
  </si>
  <si>
    <t>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</si>
</sst>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12"/>
      <color rgb="FFFF0000"/>
      <name val="Calibri"/>
      <family val="2"/>
      <charset val="204"/>
      <scheme val="minor"/>
    </font>
    <font>
      <sz val="20"/>
      <color rgb="FF000000"/>
      <name val="Calibri"/>
      <family val="2"/>
      <charset val="204"/>
    </font>
    <font>
      <sz val="9.9"/>
      <color theme="1"/>
      <name val="Calibri"/>
      <family val="2"/>
    </font>
    <font>
      <sz val="8"/>
      <name val="Calibri"/>
      <family val="2"/>
      <scheme val="minor"/>
    </font>
    <font>
      <sz val="48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BB0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/>
    <xf numFmtId="0" fontId="5" fillId="4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5" fillId="4" borderId="1" xfId="0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7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 applyAlignment="1">
      <alignment horizontal="center" wrapText="1"/>
    </xf>
    <xf numFmtId="0" fontId="0" fillId="9" borderId="0" xfId="0" applyFill="1" applyAlignment="1">
      <alignment horizontal="center"/>
    </xf>
    <xf numFmtId="0" fontId="0" fillId="10" borderId="0" xfId="0" applyFill="1"/>
    <xf numFmtId="1" fontId="0" fillId="11" borderId="0" xfId="0" applyNumberFormat="1" applyFill="1" applyAlignment="1">
      <alignment horizontal="center"/>
    </xf>
    <xf numFmtId="1" fontId="0" fillId="0" borderId="0" xfId="0" applyNumberFormat="1"/>
    <xf numFmtId="1" fontId="0" fillId="7" borderId="0" xfId="0" applyNumberFormat="1" applyFill="1"/>
    <xf numFmtId="2" fontId="0" fillId="11" borderId="0" xfId="0" applyNumberFormat="1" applyFill="1" applyAlignment="1">
      <alignment horizontal="center"/>
    </xf>
    <xf numFmtId="0" fontId="8" fillId="0" borderId="0" xfId="0" applyFont="1"/>
    <xf numFmtId="0" fontId="0" fillId="2" borderId="3" xfId="0" applyFill="1" applyBorder="1" applyAlignment="1">
      <alignment horizontal="center" wrapText="1"/>
    </xf>
    <xf numFmtId="0" fontId="0" fillId="12" borderId="0" xfId="0" applyFill="1"/>
    <xf numFmtId="0" fontId="0" fillId="13" borderId="7" xfId="0" applyFill="1" applyBorder="1"/>
    <xf numFmtId="0" fontId="0" fillId="13" borderId="4" xfId="0" applyFill="1" applyBorder="1"/>
    <xf numFmtId="0" fontId="0" fillId="13" borderId="1" xfId="0" applyFill="1" applyBorder="1"/>
    <xf numFmtId="0" fontId="0" fillId="0" borderId="0" xfId="0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3BB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Лист1!$U$2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Лист1!$U$3:$U$57</c:f>
              <c:numCache>
                <c:formatCode>General</c:formatCode>
                <c:ptCount val="55"/>
                <c:pt idx="0">
                  <c:v>200</c:v>
                </c:pt>
                <c:pt idx="1">
                  <c:v>193.1870793094204</c:v>
                </c:pt>
                <c:pt idx="2">
                  <c:v>187.86075537994165</c:v>
                </c:pt>
                <c:pt idx="3">
                  <c:v>182.98098665075767</c:v>
                </c:pt>
                <c:pt idx="4">
                  <c:v>178.37032505759601</c:v>
                </c:pt>
                <c:pt idx="5">
                  <c:v>173.94996345206542</c:v>
                </c:pt>
                <c:pt idx="6">
                  <c:v>169.67556564629336</c:v>
                </c:pt>
                <c:pt idx="7">
                  <c:v>165.51885331707675</c:v>
                </c:pt>
                <c:pt idx="8">
                  <c:v>161.46030064004015</c:v>
                </c:pt>
                <c:pt idx="9">
                  <c:v>157.48566165136921</c:v>
                </c:pt>
                <c:pt idx="10">
                  <c:v>153.58411166387219</c:v>
                </c:pt>
                <c:pt idx="11">
                  <c:v>149.74716458614387</c:v>
                </c:pt>
                <c:pt idx="12">
                  <c:v>145.96800061190376</c:v>
                </c:pt>
                <c:pt idx="13">
                  <c:v>142.24102730280703</c:v>
                </c:pt>
                <c:pt idx="14">
                  <c:v>138.56158124034937</c:v>
                </c:pt>
                <c:pt idx="15">
                  <c:v>134.92571836766362</c:v>
                </c:pt>
                <c:pt idx="16">
                  <c:v>131.33006248539544</c:v>
                </c:pt>
                <c:pt idx="17">
                  <c:v>127.77169313713112</c:v>
                </c:pt>
                <c:pt idx="18">
                  <c:v>124.24806092524034</c:v>
                </c:pt>
                <c:pt idx="19">
                  <c:v>120.75692239307537</c:v>
                </c:pt>
                <c:pt idx="20">
                  <c:v>117.29628915999724</c:v>
                </c:pt>
                <c:pt idx="21">
                  <c:v>113.86438763256346</c:v>
                </c:pt>
                <c:pt idx="22">
                  <c:v>110.45962669375622</c:v>
                </c:pt>
                <c:pt idx="23">
                  <c:v>107.08057149956292</c:v>
                </c:pt>
                <c:pt idx="24">
                  <c:v>103.72592201317096</c:v>
                </c:pt>
                <c:pt idx="25">
                  <c:v>100.39449525853885</c:v>
                </c:pt>
                <c:pt idx="26">
                  <c:v>97.085210525935778</c:v>
                </c:pt>
                <c:pt idx="27">
                  <c:v>93.797076943809813</c:v>
                </c:pt>
                <c:pt idx="28">
                  <c:v>90.52918296491579</c:v>
                </c:pt>
                <c:pt idx="29">
                  <c:v>87.280687414059798</c:v>
                </c:pt>
                <c:pt idx="30">
                  <c:v>84.050811819696222</c:v>
                </c:pt>
                <c:pt idx="31">
                  <c:v>80.838833808629516</c:v>
                </c:pt>
                <c:pt idx="32">
                  <c:v>77.644081386923148</c:v>
                </c:pt>
                <c:pt idx="33">
                  <c:v>74.465927964158638</c:v>
                </c:pt>
                <c:pt idx="34">
                  <c:v>71.303788004846126</c:v>
                </c:pt>
                <c:pt idx="35">
                  <c:v>68.157113211833803</c:v>
                </c:pt>
                <c:pt idx="36">
                  <c:v>65.025389163302975</c:v>
                </c:pt>
                <c:pt idx="37">
                  <c:v>61.908132338352743</c:v>
                </c:pt>
                <c:pt idx="38">
                  <c:v>58.804887476990871</c:v>
                </c:pt>
                <c:pt idx="39">
                  <c:v>55.715225229134091</c:v>
                </c:pt>
                <c:pt idx="40">
                  <c:v>52.638740054384556</c:v>
                </c:pt>
                <c:pt idx="41">
                  <c:v>49.575048340237345</c:v>
                </c:pt>
                <c:pt idx="42">
                  <c:v>46.523786711235289</c:v>
                </c:pt>
                <c:pt idx="43">
                  <c:v>43.484610505610391</c:v>
                </c:pt>
                <c:pt idx="44">
                  <c:v>40.457192399320093</c:v>
                </c:pt>
                <c:pt idx="45">
                  <c:v>37.441221160191276</c:v>
                </c:pt>
                <c:pt idx="46">
                  <c:v>34.436400517255407</c:v>
                </c:pt>
                <c:pt idx="47">
                  <c:v>31.442448132353064</c:v>
                </c:pt>
                <c:pt idx="48">
                  <c:v>28.45909466278178</c:v>
                </c:pt>
                <c:pt idx="49">
                  <c:v>28.161332253005213</c:v>
                </c:pt>
                <c:pt idx="50">
                  <c:v>27.863673000214391</c:v>
                </c:pt>
                <c:pt idx="51">
                  <c:v>27.566116654763562</c:v>
                </c:pt>
                <c:pt idx="52">
                  <c:v>27.268662968126762</c:v>
                </c:pt>
                <c:pt idx="53">
                  <c:v>26.97131169289068</c:v>
                </c:pt>
                <c:pt idx="54">
                  <c:v>26.674062582746643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1F-4A39-817E-76D1BDD959C3}"/>
            </c:ext>
          </c:extLst>
        </c:ser>
        <c:ser>
          <c:idx val="1"/>
          <c:order val="1"/>
          <c:tx>
            <c:strRef>
              <c:f>Лист1!$V$2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Лист1!$V$3:$V$57</c:f>
              <c:numCache>
                <c:formatCode>General</c:formatCode>
                <c:ptCount val="55"/>
                <c:pt idx="0">
                  <c:v>223.45679012345678</c:v>
                </c:pt>
                <c:pt idx="1">
                  <c:v>205</c:v>
                </c:pt>
                <c:pt idx="2">
                  <c:v>189.01234567901236</c:v>
                </c:pt>
                <c:pt idx="3">
                  <c:v>175.49382716049382</c:v>
                </c:pt>
                <c:pt idx="4">
                  <c:v>164.44444444444446</c:v>
                </c:pt>
                <c:pt idx="5">
                  <c:v>155.8641975308642</c:v>
                </c:pt>
                <c:pt idx="6">
                  <c:v>149.75308641975309</c:v>
                </c:pt>
                <c:pt idx="7">
                  <c:v>146.11111111111111</c:v>
                </c:pt>
                <c:pt idx="8">
                  <c:v>144.93827160493828</c:v>
                </c:pt>
                <c:pt idx="9">
                  <c:v>146.23456790123458</c:v>
                </c:pt>
                <c:pt idx="10">
                  <c:v>150</c:v>
                </c:pt>
                <c:pt idx="11">
                  <c:v>156.23456790123458</c:v>
                </c:pt>
                <c:pt idx="12">
                  <c:v>164.93827160493828</c:v>
                </c:pt>
                <c:pt idx="13">
                  <c:v>176.11111111111111</c:v>
                </c:pt>
                <c:pt idx="14">
                  <c:v>189.75308641975309</c:v>
                </c:pt>
                <c:pt idx="15">
                  <c:v>205.8641975308642</c:v>
                </c:pt>
                <c:pt idx="16">
                  <c:v>224.44444444444446</c:v>
                </c:pt>
                <c:pt idx="17">
                  <c:v>245.49382716049382</c:v>
                </c:pt>
                <c:pt idx="18">
                  <c:v>269.01234567901236</c:v>
                </c:pt>
                <c:pt idx="19">
                  <c:v>295</c:v>
                </c:pt>
                <c:pt idx="20">
                  <c:v>323.45679012345681</c:v>
                </c:pt>
                <c:pt idx="21">
                  <c:v>354.38271604938268</c:v>
                </c:pt>
                <c:pt idx="22">
                  <c:v>387.77777777777783</c:v>
                </c:pt>
                <c:pt idx="23">
                  <c:v>423.64197530864197</c:v>
                </c:pt>
                <c:pt idx="24">
                  <c:v>461.97530864197529</c:v>
                </c:pt>
                <c:pt idx="25">
                  <c:v>502.77777777777783</c:v>
                </c:pt>
                <c:pt idx="26">
                  <c:v>546.04938271604942</c:v>
                </c:pt>
                <c:pt idx="27">
                  <c:v>591.79012345679007</c:v>
                </c:pt>
                <c:pt idx="28">
                  <c:v>640</c:v>
                </c:pt>
                <c:pt idx="29">
                  <c:v>690.67901234567898</c:v>
                </c:pt>
                <c:pt idx="30">
                  <c:v>743.82716049382714</c:v>
                </c:pt>
                <c:pt idx="31">
                  <c:v>799.44444444444434</c:v>
                </c:pt>
                <c:pt idx="32">
                  <c:v>857.53086419753083</c:v>
                </c:pt>
                <c:pt idx="33">
                  <c:v>918.08641975308649</c:v>
                </c:pt>
                <c:pt idx="34">
                  <c:v>981.1111111111112</c:v>
                </c:pt>
                <c:pt idx="35">
                  <c:v>1046.6049382716051</c:v>
                </c:pt>
                <c:pt idx="36">
                  <c:v>1114.5679012345679</c:v>
                </c:pt>
                <c:pt idx="37">
                  <c:v>1185</c:v>
                </c:pt>
                <c:pt idx="38">
                  <c:v>1257.9012345679012</c:v>
                </c:pt>
                <c:pt idx="39">
                  <c:v>1333.2716049382716</c:v>
                </c:pt>
                <c:pt idx="40">
                  <c:v>1411.1111111111113</c:v>
                </c:pt>
                <c:pt idx="41">
                  <c:v>1491.4197530864196</c:v>
                </c:pt>
                <c:pt idx="42">
                  <c:v>1574.1975308641977</c:v>
                </c:pt>
                <c:pt idx="43">
                  <c:v>1659.4444444444443</c:v>
                </c:pt>
                <c:pt idx="44">
                  <c:v>1747.1604938271605</c:v>
                </c:pt>
                <c:pt idx="45">
                  <c:v>1837.3456790123455</c:v>
                </c:pt>
                <c:pt idx="46">
                  <c:v>1930</c:v>
                </c:pt>
                <c:pt idx="47">
                  <c:v>2025.1234567901238</c:v>
                </c:pt>
                <c:pt idx="48">
                  <c:v>2122.7160493827159</c:v>
                </c:pt>
                <c:pt idx="49">
                  <c:v>2132.6111111111113</c:v>
                </c:pt>
                <c:pt idx="50">
                  <c:v>2142.5308641975307</c:v>
                </c:pt>
                <c:pt idx="51">
                  <c:v>2152.4753086419755</c:v>
                </c:pt>
                <c:pt idx="52">
                  <c:v>2162.4444444444443</c:v>
                </c:pt>
                <c:pt idx="53">
                  <c:v>2172.4382716049386</c:v>
                </c:pt>
                <c:pt idx="54">
                  <c:v>2182.4567901234568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1F-4A39-817E-76D1BDD95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065967"/>
        <c:axId val="34666335"/>
      </c:scatterChart>
      <c:valAx>
        <c:axId val="55506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666335"/>
        <c:crosses val="autoZero"/>
        <c:crossBetween val="midCat"/>
      </c:valAx>
      <c:valAx>
        <c:axId val="3466633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065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Лист1!$W$2</c:f>
              <c:strCache>
                <c:ptCount val="1"/>
                <c:pt idx="0">
                  <c:v>ΔY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Лист1!$W$3:$W$57</c:f>
              <c:numCache>
                <c:formatCode>General</c:formatCode>
                <c:ptCount val="55"/>
                <c:pt idx="0">
                  <c:v>23.456790123456784</c:v>
                </c:pt>
                <c:pt idx="1">
                  <c:v>11.812920690579602</c:v>
                </c:pt>
                <c:pt idx="2">
                  <c:v>1.1515902990707048</c:v>
                </c:pt>
                <c:pt idx="3">
                  <c:v>-7.4871594902638492</c:v>
                </c:pt>
                <c:pt idx="4">
                  <c:v>-13.925880613151548</c:v>
                </c:pt>
                <c:pt idx="5">
                  <c:v>-18.085765921201215</c:v>
                </c:pt>
                <c:pt idx="6">
                  <c:v>-19.922479226540275</c:v>
                </c:pt>
                <c:pt idx="7">
                  <c:v>-19.407742205965633</c:v>
                </c:pt>
                <c:pt idx="8">
                  <c:v>-16.522029035101866</c:v>
                </c:pt>
                <c:pt idx="9">
                  <c:v>-11.251093750134629</c:v>
                </c:pt>
                <c:pt idx="10">
                  <c:v>-3.5841116638721928</c:v>
                </c:pt>
                <c:pt idx="11">
                  <c:v>6.4874033150907167</c:v>
                </c:pt>
                <c:pt idx="12">
                  <c:v>18.970270993034518</c:v>
                </c:pt>
                <c:pt idx="13">
                  <c:v>33.870083808304088</c:v>
                </c:pt>
                <c:pt idx="14">
                  <c:v>51.19150517940372</c:v>
                </c:pt>
                <c:pt idx="15">
                  <c:v>70.938479163200583</c:v>
                </c:pt>
                <c:pt idx="16">
                  <c:v>93.114381959049012</c:v>
                </c:pt>
                <c:pt idx="17">
                  <c:v>117.7221340233627</c:v>
                </c:pt>
                <c:pt idx="18">
                  <c:v>144.76428475377202</c:v>
                </c:pt>
                <c:pt idx="19">
                  <c:v>174.24307760692463</c:v>
                </c:pt>
                <c:pt idx="20">
                  <c:v>206.16050096345958</c:v>
                </c:pt>
                <c:pt idx="21">
                  <c:v>240.5183284168192</c:v>
                </c:pt>
                <c:pt idx="22">
                  <c:v>277.31815108402162</c:v>
                </c:pt>
                <c:pt idx="23">
                  <c:v>316.56140380907902</c:v>
                </c:pt>
                <c:pt idx="24">
                  <c:v>358.24938662880436</c:v>
                </c:pt>
                <c:pt idx="25">
                  <c:v>402.38328251923895</c:v>
                </c:pt>
                <c:pt idx="26">
                  <c:v>448.96417219011363</c:v>
                </c:pt>
                <c:pt idx="27">
                  <c:v>497.99304651298024</c:v>
                </c:pt>
                <c:pt idx="28">
                  <c:v>549.47081703508422</c:v>
                </c:pt>
                <c:pt idx="29">
                  <c:v>603.39832493161919</c:v>
                </c:pt>
                <c:pt idx="30">
                  <c:v>659.77634867413087</c:v>
                </c:pt>
                <c:pt idx="31">
                  <c:v>718.60561063581486</c:v>
                </c:pt>
                <c:pt idx="32">
                  <c:v>779.88678281060766</c:v>
                </c:pt>
                <c:pt idx="33">
                  <c:v>843.62049178892789</c:v>
                </c:pt>
                <c:pt idx="34">
                  <c:v>909.80732310626513</c:v>
                </c:pt>
                <c:pt idx="35">
                  <c:v>978.44782505977128</c:v>
                </c:pt>
                <c:pt idx="36">
                  <c:v>1049.5425120712648</c:v>
                </c:pt>
                <c:pt idx="37">
                  <c:v>1123.0918676616473</c:v>
                </c:pt>
                <c:pt idx="38">
                  <c:v>1199.0963470909103</c:v>
                </c:pt>
                <c:pt idx="39">
                  <c:v>1277.5563797091374</c:v>
                </c:pt>
                <c:pt idx="40">
                  <c:v>1358.4723710567268</c:v>
                </c:pt>
                <c:pt idx="41">
                  <c:v>1441.8447047461823</c:v>
                </c:pt>
                <c:pt idx="42">
                  <c:v>1527.6737441529624</c:v>
                </c:pt>
                <c:pt idx="43">
                  <c:v>1615.959833938834</c:v>
                </c:pt>
                <c:pt idx="44">
                  <c:v>1706.7033014278404</c:v>
                </c:pt>
                <c:pt idx="45">
                  <c:v>1799.9044578521543</c:v>
                </c:pt>
                <c:pt idx="46">
                  <c:v>1895.5635994827446</c:v>
                </c:pt>
                <c:pt idx="47">
                  <c:v>1993.6810086577707</c:v>
                </c:pt>
                <c:pt idx="48">
                  <c:v>2094.2569547199341</c:v>
                </c:pt>
                <c:pt idx="49">
                  <c:v>2104.4497788581061</c:v>
                </c:pt>
                <c:pt idx="50">
                  <c:v>2114.6671911973162</c:v>
                </c:pt>
                <c:pt idx="51">
                  <c:v>2124.9091919872121</c:v>
                </c:pt>
                <c:pt idx="52">
                  <c:v>2135.1757814763178</c:v>
                </c:pt>
                <c:pt idx="53">
                  <c:v>2145.466959912048</c:v>
                </c:pt>
                <c:pt idx="54">
                  <c:v>2155.7827275407103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A-4EDD-A05A-82CFB6742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291823"/>
        <c:axId val="150897551"/>
      </c:scatterChart>
      <c:valAx>
        <c:axId val="1127291823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97551"/>
        <c:crosses val="autoZero"/>
        <c:crossBetween val="midCat"/>
      </c:valAx>
      <c:valAx>
        <c:axId val="150897551"/>
        <c:scaling>
          <c:orientation val="minMax"/>
          <c:max val="5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7291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AE-464E-94D0-E43A401EE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Лист3!$AB$106:$AB$125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10-4FF4-9EAA-4575B8A548AB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Лист3!$AC$106:$AC$125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10-4FF4-9EAA-4575B8A54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B-4348-85AE-D0F3C83DAF8A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Лист3!$E$106:$E$125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Лист3!$C$106:$C$125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B-4348-85AE-D0F3C83DAF8A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Лист3!$P$106:$P$125</c:f>
              <c:numCache>
                <c:formatCode>0</c:formatCode>
                <c:ptCount val="20"/>
                <c:pt idx="0">
                  <c:v>100.63205860462516</c:v>
                </c:pt>
                <c:pt idx="1">
                  <c:v>104.72089655597198</c:v>
                </c:pt>
                <c:pt idx="2">
                  <c:v>108.75567766557917</c:v>
                </c:pt>
                <c:pt idx="3">
                  <c:v>112.68977552056995</c:v>
                </c:pt>
                <c:pt idx="4">
                  <c:v>116.56174727410604</c:v>
                </c:pt>
                <c:pt idx="5">
                  <c:v>120.43032206413032</c:v>
                </c:pt>
                <c:pt idx="6">
                  <c:v>124.29936233045423</c:v>
                </c:pt>
                <c:pt idx="7">
                  <c:v>128.16948078848552</c:v>
                </c:pt>
                <c:pt idx="8">
                  <c:v>132.04044163068764</c:v>
                </c:pt>
                <c:pt idx="9">
                  <c:v>135.91223103368469</c:v>
                </c:pt>
                <c:pt idx="10">
                  <c:v>139.78460864820028</c:v>
                </c:pt>
                <c:pt idx="11">
                  <c:v>143.65746065262886</c:v>
                </c:pt>
                <c:pt idx="12">
                  <c:v>147.53072601877182</c:v>
                </c:pt>
                <c:pt idx="13">
                  <c:v>151.40423865293798</c:v>
                </c:pt>
                <c:pt idx="14">
                  <c:v>155.27792363184491</c:v>
                </c:pt>
                <c:pt idx="15">
                  <c:v>159.1516881832348</c:v>
                </c:pt>
                <c:pt idx="16">
                  <c:v>163.02544437851961</c:v>
                </c:pt>
                <c:pt idx="17">
                  <c:v>166.89910442421623</c:v>
                </c:pt>
                <c:pt idx="18">
                  <c:v>170.77260070877108</c:v>
                </c:pt>
                <c:pt idx="19">
                  <c:v>174.64588094253367</c:v>
                </c:pt>
              </c:numCache>
            </c:numRef>
          </c:xVal>
          <c:yVal>
            <c:numRef>
              <c:f>Лист3!$N$106:$N$125</c:f>
              <c:numCache>
                <c:formatCode>0</c:formatCode>
                <c:ptCount val="20"/>
                <c:pt idx="0">
                  <c:v>2200</c:v>
                </c:pt>
                <c:pt idx="1">
                  <c:v>2268.4210526315787</c:v>
                </c:pt>
                <c:pt idx="2">
                  <c:v>2336.8421052631579</c:v>
                </c:pt>
                <c:pt idx="3">
                  <c:v>2405.2631578947367</c:v>
                </c:pt>
                <c:pt idx="4">
                  <c:v>2473.6842105263158</c:v>
                </c:pt>
                <c:pt idx="5">
                  <c:v>2542.1052631578946</c:v>
                </c:pt>
                <c:pt idx="6">
                  <c:v>2610.5263157894738</c:v>
                </c:pt>
                <c:pt idx="7">
                  <c:v>2678.9473684210525</c:v>
                </c:pt>
                <c:pt idx="8">
                  <c:v>2747.3684210526317</c:v>
                </c:pt>
                <c:pt idx="9">
                  <c:v>2815.7894736842104</c:v>
                </c:pt>
                <c:pt idx="10">
                  <c:v>2884.2105263157896</c:v>
                </c:pt>
                <c:pt idx="11">
                  <c:v>2952.6315789473683</c:v>
                </c:pt>
                <c:pt idx="12">
                  <c:v>3021.0526315789475</c:v>
                </c:pt>
                <c:pt idx="13">
                  <c:v>3089.4736842105262</c:v>
                </c:pt>
                <c:pt idx="14">
                  <c:v>3157.8947368421054</c:v>
                </c:pt>
                <c:pt idx="15">
                  <c:v>3226.3157894736842</c:v>
                </c:pt>
                <c:pt idx="16">
                  <c:v>3294.7368421052633</c:v>
                </c:pt>
                <c:pt idx="17">
                  <c:v>3363.1578947368421</c:v>
                </c:pt>
                <c:pt idx="18">
                  <c:v>3431.5789473684208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B-4348-85AE-D0F3C83D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DFA-A961-D2FB9A283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9-4347-81F9-9C7AD3846F85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9-4347-81F9-9C7AD3846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2-4810-AD9A-D342BB450282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</c:v>
                </c:pt>
                <c:pt idx="1">
                  <c:v>102.12806537978533</c:v>
                </c:pt>
                <c:pt idx="2">
                  <c:v>104.23311657601462</c:v>
                </c:pt>
                <c:pt idx="3">
                  <c:v>106.31481615453136</c:v>
                </c:pt>
                <c:pt idx="4">
                  <c:v>108.37495932753022</c:v>
                </c:pt>
                <c:pt idx="5">
                  <c:v>110.4140746269163</c:v>
                </c:pt>
                <c:pt idx="6">
                  <c:v>112.43306988751746</c:v>
                </c:pt>
                <c:pt idx="7">
                  <c:v>114.43317361388287</c:v>
                </c:pt>
                <c:pt idx="8">
                  <c:v>116.40253519833392</c:v>
                </c:pt>
                <c:pt idx="9">
                  <c:v>118.27589699437478</c:v>
                </c:pt>
                <c:pt idx="10">
                  <c:v>120.07165965541994</c:v>
                </c:pt>
                <c:pt idx="11">
                  <c:v>121.79254950892675</c:v>
                </c:pt>
                <c:pt idx="12">
                  <c:v>123.42281466627222</c:v>
                </c:pt>
                <c:pt idx="13">
                  <c:v>124.97174398076831</c:v>
                </c:pt>
                <c:pt idx="14">
                  <c:v>126.44303130618836</c:v>
                </c:pt>
                <c:pt idx="15">
                  <c:v>127.84123419058899</c:v>
                </c:pt>
                <c:pt idx="16">
                  <c:v>128.57606696715689</c:v>
                </c:pt>
                <c:pt idx="17">
                  <c:v>129.16845237928845</c:v>
                </c:pt>
                <c:pt idx="18">
                  <c:v>130.42493260195988</c:v>
                </c:pt>
                <c:pt idx="19">
                  <c:v>131.63592891634227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72-4810-AD9A-D342BB450282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139.86391519026427</c:v>
                </c:pt>
                <c:pt idx="2">
                  <c:v>141.39728374734736</c:v>
                </c:pt>
                <c:pt idx="3">
                  <c:v>142.91173919539511</c:v>
                </c:pt>
                <c:pt idx="4">
                  <c:v>144.42198464794402</c:v>
                </c:pt>
                <c:pt idx="5">
                  <c:v>145.91539011849747</c:v>
                </c:pt>
                <c:pt idx="6">
                  <c:v>147.40247571133784</c:v>
                </c:pt>
                <c:pt idx="7">
                  <c:v>148.87481492284778</c:v>
                </c:pt>
                <c:pt idx="8">
                  <c:v>150.34291047366855</c:v>
                </c:pt>
                <c:pt idx="9">
                  <c:v>151.80464053345557</c:v>
                </c:pt>
                <c:pt idx="10">
                  <c:v>153.26639692182678</c:v>
                </c:pt>
                <c:pt idx="11">
                  <c:v>154.72817963878214</c:v>
                </c:pt>
                <c:pt idx="12">
                  <c:v>156.18998414231402</c:v>
                </c:pt>
                <c:pt idx="13">
                  <c:v>157.65180317023018</c:v>
                </c:pt>
                <c:pt idx="14">
                  <c:v>159.11363675360818</c:v>
                </c:pt>
                <c:pt idx="15">
                  <c:v>160.57547657504125</c:v>
                </c:pt>
                <c:pt idx="16">
                  <c:v>162.03732123588938</c:v>
                </c:pt>
                <c:pt idx="17">
                  <c:v>163.49916710659124</c:v>
                </c:pt>
                <c:pt idx="18">
                  <c:v>164.96100580178597</c:v>
                </c:pt>
                <c:pt idx="19">
                  <c:v>166.42284369970213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2226.3157894736842</c:v>
                </c:pt>
                <c:pt idx="2">
                  <c:v>2252.6315789473683</c:v>
                </c:pt>
                <c:pt idx="3">
                  <c:v>2278.9473684210525</c:v>
                </c:pt>
                <c:pt idx="4">
                  <c:v>2305.2631578947367</c:v>
                </c:pt>
                <c:pt idx="5">
                  <c:v>2331.5789473684213</c:v>
                </c:pt>
                <c:pt idx="6">
                  <c:v>2357.8947368421054</c:v>
                </c:pt>
                <c:pt idx="7">
                  <c:v>2384.2105263157896</c:v>
                </c:pt>
                <c:pt idx="8">
                  <c:v>2410.5263157894738</c:v>
                </c:pt>
                <c:pt idx="9">
                  <c:v>2436.8421052631579</c:v>
                </c:pt>
                <c:pt idx="10">
                  <c:v>2463.1578947368421</c:v>
                </c:pt>
                <c:pt idx="11">
                  <c:v>2489.4736842105262</c:v>
                </c:pt>
                <c:pt idx="12">
                  <c:v>2515.7894736842104</c:v>
                </c:pt>
                <c:pt idx="13">
                  <c:v>2542.1052631578946</c:v>
                </c:pt>
                <c:pt idx="14">
                  <c:v>2568.4210526315787</c:v>
                </c:pt>
                <c:pt idx="15">
                  <c:v>2594.7368421052633</c:v>
                </c:pt>
                <c:pt idx="16">
                  <c:v>2621.0526315789475</c:v>
                </c:pt>
                <c:pt idx="17">
                  <c:v>2647.3684210526317</c:v>
                </c:pt>
                <c:pt idx="18">
                  <c:v>2673.6842105263158</c:v>
                </c:pt>
                <c:pt idx="19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72-4810-AD9A-D342BB45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8-4869-A9D9-080A39128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A-495C-9DD1-9AE4FC31EDE0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A-495C-9DD1-9AE4FC31E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F-4E43-8EFF-4DC3CAF63DD0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</c:v>
                </c:pt>
                <c:pt idx="1">
                  <c:v>102.12806537978533</c:v>
                </c:pt>
                <c:pt idx="2">
                  <c:v>104.23311657601462</c:v>
                </c:pt>
                <c:pt idx="3">
                  <c:v>106.31481615453136</c:v>
                </c:pt>
                <c:pt idx="4">
                  <c:v>108.37495932753022</c:v>
                </c:pt>
                <c:pt idx="5">
                  <c:v>110.4140746269163</c:v>
                </c:pt>
                <c:pt idx="6">
                  <c:v>112.43306988751746</c:v>
                </c:pt>
                <c:pt idx="7">
                  <c:v>114.43317361388287</c:v>
                </c:pt>
                <c:pt idx="8">
                  <c:v>116.40253519833392</c:v>
                </c:pt>
                <c:pt idx="9">
                  <c:v>118.27589699437478</c:v>
                </c:pt>
                <c:pt idx="10">
                  <c:v>120.07165965541994</c:v>
                </c:pt>
                <c:pt idx="11">
                  <c:v>121.79254950892675</c:v>
                </c:pt>
                <c:pt idx="12">
                  <c:v>123.42281466627222</c:v>
                </c:pt>
                <c:pt idx="13">
                  <c:v>124.97174398076831</c:v>
                </c:pt>
                <c:pt idx="14">
                  <c:v>126.44303130618836</c:v>
                </c:pt>
                <c:pt idx="15">
                  <c:v>127.84123419058899</c:v>
                </c:pt>
                <c:pt idx="16">
                  <c:v>128.57606696715689</c:v>
                </c:pt>
                <c:pt idx="17">
                  <c:v>129.16845237928845</c:v>
                </c:pt>
                <c:pt idx="18">
                  <c:v>130.42493260195988</c:v>
                </c:pt>
                <c:pt idx="19">
                  <c:v>131.63592891634227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4F-4E43-8EFF-4DC3CAF63DD0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139.86391519026427</c:v>
                </c:pt>
                <c:pt idx="2">
                  <c:v>141.39728374734736</c:v>
                </c:pt>
                <c:pt idx="3">
                  <c:v>142.91173919539511</c:v>
                </c:pt>
                <c:pt idx="4">
                  <c:v>144.42198464794402</c:v>
                </c:pt>
                <c:pt idx="5">
                  <c:v>145.91539011849747</c:v>
                </c:pt>
                <c:pt idx="6">
                  <c:v>147.40247571133784</c:v>
                </c:pt>
                <c:pt idx="7">
                  <c:v>148.87481492284778</c:v>
                </c:pt>
                <c:pt idx="8">
                  <c:v>150.34291047366855</c:v>
                </c:pt>
                <c:pt idx="9">
                  <c:v>151.80464053345557</c:v>
                </c:pt>
                <c:pt idx="10">
                  <c:v>153.26639692182678</c:v>
                </c:pt>
                <c:pt idx="11">
                  <c:v>154.72817963878214</c:v>
                </c:pt>
                <c:pt idx="12">
                  <c:v>156.18998414231402</c:v>
                </c:pt>
                <c:pt idx="13">
                  <c:v>157.65180317023018</c:v>
                </c:pt>
                <c:pt idx="14">
                  <c:v>159.11363675360818</c:v>
                </c:pt>
                <c:pt idx="15">
                  <c:v>160.57547657504125</c:v>
                </c:pt>
                <c:pt idx="16">
                  <c:v>162.03732123588938</c:v>
                </c:pt>
                <c:pt idx="17">
                  <c:v>163.49916710659124</c:v>
                </c:pt>
                <c:pt idx="18">
                  <c:v>164.96100580178597</c:v>
                </c:pt>
                <c:pt idx="19">
                  <c:v>166.42284369970213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2226.3157894736842</c:v>
                </c:pt>
                <c:pt idx="2">
                  <c:v>2252.6315789473683</c:v>
                </c:pt>
                <c:pt idx="3">
                  <c:v>2278.9473684210525</c:v>
                </c:pt>
                <c:pt idx="4">
                  <c:v>2305.2631578947367</c:v>
                </c:pt>
                <c:pt idx="5">
                  <c:v>2331.5789473684213</c:v>
                </c:pt>
                <c:pt idx="6">
                  <c:v>2357.8947368421054</c:v>
                </c:pt>
                <c:pt idx="7">
                  <c:v>2384.2105263157896</c:v>
                </c:pt>
                <c:pt idx="8">
                  <c:v>2410.5263157894738</c:v>
                </c:pt>
                <c:pt idx="9">
                  <c:v>2436.8421052631579</c:v>
                </c:pt>
                <c:pt idx="10">
                  <c:v>2463.1578947368421</c:v>
                </c:pt>
                <c:pt idx="11">
                  <c:v>2489.4736842105262</c:v>
                </c:pt>
                <c:pt idx="12">
                  <c:v>2515.7894736842104</c:v>
                </c:pt>
                <c:pt idx="13">
                  <c:v>2542.1052631578946</c:v>
                </c:pt>
                <c:pt idx="14">
                  <c:v>2568.4210526315787</c:v>
                </c:pt>
                <c:pt idx="15">
                  <c:v>2594.7368421052633</c:v>
                </c:pt>
                <c:pt idx="16">
                  <c:v>2621.0526315789475</c:v>
                </c:pt>
                <c:pt idx="17">
                  <c:v>2647.3684210526317</c:v>
                </c:pt>
                <c:pt idx="18">
                  <c:v>2673.6842105263158</c:v>
                </c:pt>
                <c:pt idx="19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4F-4E43-8EFF-4DC3CAF6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test_calc!$AE$35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test_calc!$Z$36:$Z$266</c:f>
              <c:numCache>
                <c:formatCode>General</c:formatCode>
                <c:ptCount val="231"/>
                <c:pt idx="0">
                  <c:v>1900</c:v>
                </c:pt>
                <c:pt idx="1">
                  <c:v>2301.9249999995091</c:v>
                </c:pt>
                <c:pt idx="2">
                  <c:v>2357.6849999995602</c:v>
                </c:pt>
                <c:pt idx="3">
                  <c:v>2328.484999999534</c:v>
                </c:pt>
                <c:pt idx="4">
                  <c:v>2345.524999999549</c:v>
                </c:pt>
                <c:pt idx="5">
                  <c:v>2336.1916666661718</c:v>
                </c:pt>
                <c:pt idx="6">
                  <c:v>2334.9516666661707</c:v>
                </c:pt>
                <c:pt idx="7">
                  <c:v>2335.0316666661702</c:v>
                </c:pt>
                <c:pt idx="8">
                  <c:v>2335.0716666661706</c:v>
                </c:pt>
                <c:pt idx="9">
                  <c:v>2335.0316666661702</c:v>
                </c:pt>
                <c:pt idx="10">
                  <c:v>2335.0716666661706</c:v>
                </c:pt>
                <c:pt idx="11">
                  <c:v>2335.0316666661702</c:v>
                </c:pt>
              </c:numCache>
            </c:numRef>
          </c:xVal>
          <c:yVal>
            <c:numRef>
              <c:f>test_calc!$AE$36:$AE$266</c:f>
              <c:numCache>
                <c:formatCode>General</c:formatCode>
                <c:ptCount val="231"/>
                <c:pt idx="0">
                  <c:v>16.077000000000012</c:v>
                </c:pt>
                <c:pt idx="1">
                  <c:v>1.3940000000000055</c:v>
                </c:pt>
                <c:pt idx="2">
                  <c:v>-0.72999999999998977</c:v>
                </c:pt>
                <c:pt idx="3">
                  <c:v>0.42599999999998772</c:v>
                </c:pt>
                <c:pt idx="4">
                  <c:v>-0.28000000000000114</c:v>
                </c:pt>
                <c:pt idx="5">
                  <c:v>-3.1000000000005912E-2</c:v>
                </c:pt>
                <c:pt idx="6">
                  <c:v>1.999999999981128E-3</c:v>
                </c:pt>
                <c:pt idx="7">
                  <c:v>1.0000000000047748E-3</c:v>
                </c:pt>
                <c:pt idx="8">
                  <c:v>-1.0000000000047748E-3</c:v>
                </c:pt>
                <c:pt idx="9">
                  <c:v>1.0000000000047748E-3</c:v>
                </c:pt>
                <c:pt idx="10">
                  <c:v>-1.0000000000047748E-3</c:v>
                </c:pt>
                <c:pt idx="11">
                  <c:v>1.0000000000047748E-3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6-4090-A05E-DAEAC8121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802239"/>
        <c:axId val="1678328063"/>
      </c:scatterChart>
      <c:valAx>
        <c:axId val="479802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328063"/>
        <c:crosses val="autoZero"/>
        <c:crossBetween val="midCat"/>
      </c:valAx>
      <c:valAx>
        <c:axId val="167832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802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7</xdr:col>
      <xdr:colOff>257175</xdr:colOff>
      <xdr:row>13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575" y="28575"/>
          <a:ext cx="4495800" cy="2562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Требуется</a:t>
          </a:r>
          <a:r>
            <a:rPr lang="ru-RU" sz="1100" baseline="0"/>
            <a:t> рассчитать максимальную глубину спуска заглубленного газлифта, забойное давление и дебит скважины.</a:t>
          </a:r>
        </a:p>
        <a:p>
          <a:endParaRPr lang="ru-RU" sz="1100" baseline="0"/>
        </a:p>
        <a:p>
          <a:r>
            <a:rPr lang="ru-RU" sz="1100" baseline="0"/>
            <a:t>Условия: Последний пусковой калпан не может быть установлен глубже глубины установки пакера. Поэтому можем принять, что последний пусковой клапан находится на своей максимальной глубине и задача сводится к поиску глубины спуска относительно установки последнего пускового клапана.</a:t>
          </a:r>
          <a:endParaRPr lang="ru-RU" sz="1100"/>
        </a:p>
      </xdr:txBody>
    </xdr:sp>
    <xdr:clientData/>
  </xdr:twoCellAnchor>
  <xdr:twoCellAnchor editAs="oneCell">
    <xdr:from>
      <xdr:col>0</xdr:col>
      <xdr:colOff>28575</xdr:colOff>
      <xdr:row>13</xdr:row>
      <xdr:rowOff>114300</xdr:rowOff>
    </xdr:from>
    <xdr:to>
      <xdr:col>7</xdr:col>
      <xdr:colOff>409575</xdr:colOff>
      <xdr:row>30</xdr:row>
      <xdr:rowOff>29560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590800"/>
          <a:ext cx="4648200" cy="3310393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31</xdr:row>
      <xdr:rowOff>76200</xdr:rowOff>
    </xdr:from>
    <xdr:to>
      <xdr:col>7</xdr:col>
      <xdr:colOff>476251</xdr:colOff>
      <xdr:row>34</xdr:row>
      <xdr:rowOff>84756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981700"/>
          <a:ext cx="4743450" cy="5715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2</xdr:col>
      <xdr:colOff>95433</xdr:colOff>
      <xdr:row>46</xdr:row>
      <xdr:rowOff>44766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743700"/>
          <a:ext cx="1314633" cy="22672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13</xdr:col>
      <xdr:colOff>678251</xdr:colOff>
      <xdr:row>9</xdr:row>
      <xdr:rowOff>85923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10667" y="381000"/>
          <a:ext cx="6573167" cy="1419423"/>
        </a:xfrm>
        <a:prstGeom prst="rect">
          <a:avLst/>
        </a:prstGeom>
      </xdr:spPr>
    </xdr:pic>
    <xdr:clientData/>
  </xdr:twoCellAnchor>
  <xdr:twoCellAnchor>
    <xdr:from>
      <xdr:col>11</xdr:col>
      <xdr:colOff>603249</xdr:colOff>
      <xdr:row>23</xdr:row>
      <xdr:rowOff>42334</xdr:rowOff>
    </xdr:from>
    <xdr:to>
      <xdr:col>15</xdr:col>
      <xdr:colOff>95249</xdr:colOff>
      <xdr:row>25</xdr:row>
      <xdr:rowOff>52917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181166" y="4466167"/>
          <a:ext cx="2201333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Расход</a:t>
          </a:r>
          <a:r>
            <a:rPr lang="ru-RU" sz="1100" baseline="0"/>
            <a:t> жидкости принимаем равным расходу газа</a:t>
          </a:r>
          <a:endParaRPr lang="ru-RU" sz="1100"/>
        </a:p>
      </xdr:txBody>
    </xdr:sp>
    <xdr:clientData/>
  </xdr:twoCellAnchor>
  <xdr:twoCellAnchor>
    <xdr:from>
      <xdr:col>23</xdr:col>
      <xdr:colOff>31750</xdr:colOff>
      <xdr:row>0</xdr:row>
      <xdr:rowOff>141816</xdr:rowOff>
    </xdr:from>
    <xdr:to>
      <xdr:col>39</xdr:col>
      <xdr:colOff>243416</xdr:colOff>
      <xdr:row>22</xdr:row>
      <xdr:rowOff>105834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84667</xdr:colOff>
      <xdr:row>22</xdr:row>
      <xdr:rowOff>120649</xdr:rowOff>
    </xdr:from>
    <xdr:to>
      <xdr:col>38</xdr:col>
      <xdr:colOff>10583</xdr:colOff>
      <xdr:row>45</xdr:row>
      <xdr:rowOff>169334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133350</xdr:rowOff>
        </xdr:from>
        <xdr:to>
          <xdr:col>4</xdr:col>
          <xdr:colOff>600075</xdr:colOff>
          <xdr:row>8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529167</xdr:colOff>
      <xdr:row>37</xdr:row>
      <xdr:rowOff>67732</xdr:rowOff>
    </xdr:from>
    <xdr:to>
      <xdr:col>19</xdr:col>
      <xdr:colOff>190501</xdr:colOff>
      <xdr:row>51</xdr:row>
      <xdr:rowOff>143932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VBA_Unifloc\unifloc_vba\UniflocVBA_7.xlam" TargetMode="External"/><Relationship Id="rId1" Type="http://schemas.openxmlformats.org/officeDocument/2006/relationships/externalLinkPath" Target="/VBA_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encode_choke"/>
      <definedName name="encode_feed"/>
      <definedName name="encode_ipr"/>
      <definedName name="encode_json"/>
      <definedName name="encode_pipe"/>
      <definedName name="encode_pipe_construction"/>
      <definedName name="encode_PVT"/>
      <definedName name="encode_t_model"/>
      <definedName name="GLV_p_atma"/>
      <definedName name="GLV_q_gas_sm3day"/>
      <definedName name="IPR_pwf_atma"/>
      <definedName name="IPR_q_liq_sm3day"/>
      <definedName name="MF_choke_p_atma"/>
      <definedName name="MF_pipe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2B83-A8A2-4B5B-9C44-6A0F010ECC42}">
  <sheetPr codeName="Лист1"/>
  <dimension ref="I2:AB57"/>
  <sheetViews>
    <sheetView zoomScale="90" zoomScaleNormal="90" workbookViewId="0">
      <selection activeCell="AC53" sqref="AC53"/>
    </sheetView>
  </sheetViews>
  <sheetFormatPr defaultRowHeight="15" x14ac:dyDescent="0.25"/>
  <cols>
    <col min="9" max="9" width="48.28515625" bestFit="1" customWidth="1"/>
    <col min="10" max="10" width="11.85546875" bestFit="1" customWidth="1"/>
    <col min="11" max="11" width="9.85546875" customWidth="1"/>
    <col min="14" max="14" width="13" bestFit="1" customWidth="1"/>
  </cols>
  <sheetData>
    <row r="2" spans="20:23" x14ac:dyDescent="0.25">
      <c r="T2" t="s">
        <v>157</v>
      </c>
      <c r="U2" t="s">
        <v>158</v>
      </c>
      <c r="V2" t="s">
        <v>159</v>
      </c>
      <c r="W2" s="1" t="s">
        <v>160</v>
      </c>
    </row>
    <row r="3" spans="20:23" x14ac:dyDescent="0.25">
      <c r="T3">
        <v>0</v>
      </c>
      <c r="U3">
        <f>200-T3^(5/6)</f>
        <v>200</v>
      </c>
      <c r="V3">
        <f>((T3-100)/9)^2+0.5*T3+100</f>
        <v>223.45679012345678</v>
      </c>
      <c r="W3">
        <f>V3-U3</f>
        <v>23.456790123456784</v>
      </c>
    </row>
    <row r="4" spans="20:23" x14ac:dyDescent="0.25">
      <c r="T4">
        <v>10</v>
      </c>
      <c r="U4">
        <f t="shared" ref="U4:U57" si="0">200-T4^(5/6)</f>
        <v>193.1870793094204</v>
      </c>
      <c r="V4">
        <f t="shared" ref="V4:V9" si="1">((T4-100)/9)^2+0.5*T4+100</f>
        <v>205</v>
      </c>
      <c r="W4">
        <f t="shared" ref="W4:W57" si="2">V4-U4</f>
        <v>11.812920690579602</v>
      </c>
    </row>
    <row r="5" spans="20:23" x14ac:dyDescent="0.25">
      <c r="T5">
        <v>20</v>
      </c>
      <c r="U5">
        <f t="shared" si="0"/>
        <v>187.86075537994165</v>
      </c>
      <c r="V5">
        <f t="shared" si="1"/>
        <v>189.01234567901236</v>
      </c>
      <c r="W5">
        <f t="shared" si="2"/>
        <v>1.1515902990707048</v>
      </c>
    </row>
    <row r="6" spans="20:23" x14ac:dyDescent="0.25">
      <c r="T6">
        <v>30</v>
      </c>
      <c r="U6">
        <f t="shared" si="0"/>
        <v>182.98098665075767</v>
      </c>
      <c r="V6">
        <f t="shared" si="1"/>
        <v>175.49382716049382</v>
      </c>
      <c r="W6">
        <f t="shared" si="2"/>
        <v>-7.4871594902638492</v>
      </c>
    </row>
    <row r="7" spans="20:23" x14ac:dyDescent="0.25">
      <c r="T7">
        <v>40</v>
      </c>
      <c r="U7">
        <f t="shared" si="0"/>
        <v>178.37032505759601</v>
      </c>
      <c r="V7">
        <f t="shared" si="1"/>
        <v>164.44444444444446</v>
      </c>
      <c r="W7">
        <f t="shared" si="2"/>
        <v>-13.925880613151548</v>
      </c>
    </row>
    <row r="8" spans="20:23" x14ac:dyDescent="0.25">
      <c r="T8">
        <v>50</v>
      </c>
      <c r="U8">
        <f t="shared" si="0"/>
        <v>173.94996345206542</v>
      </c>
      <c r="V8">
        <f t="shared" si="1"/>
        <v>155.8641975308642</v>
      </c>
      <c r="W8">
        <f t="shared" si="2"/>
        <v>-18.085765921201215</v>
      </c>
    </row>
    <row r="9" spans="20:23" x14ac:dyDescent="0.25">
      <c r="T9">
        <v>60</v>
      </c>
      <c r="U9">
        <f t="shared" si="0"/>
        <v>169.67556564629336</v>
      </c>
      <c r="V9">
        <f t="shared" si="1"/>
        <v>149.75308641975309</v>
      </c>
      <c r="W9">
        <f t="shared" si="2"/>
        <v>-19.922479226540275</v>
      </c>
    </row>
    <row r="10" spans="20:23" x14ac:dyDescent="0.25">
      <c r="T10">
        <v>70</v>
      </c>
      <c r="U10">
        <f t="shared" si="0"/>
        <v>165.51885331707675</v>
      </c>
      <c r="V10">
        <f>((T10-100)/9)^2+0.5*T10+100</f>
        <v>146.11111111111111</v>
      </c>
      <c r="W10">
        <f t="shared" si="2"/>
        <v>-19.407742205965633</v>
      </c>
    </row>
    <row r="11" spans="20:23" x14ac:dyDescent="0.25">
      <c r="T11">
        <v>80</v>
      </c>
      <c r="U11">
        <f t="shared" si="0"/>
        <v>161.46030064004015</v>
      </c>
      <c r="V11">
        <f t="shared" ref="V11:V44" si="3">((T11-100)/9)^2+0.5*T11+100</f>
        <v>144.93827160493828</v>
      </c>
      <c r="W11">
        <f t="shared" si="2"/>
        <v>-16.522029035101866</v>
      </c>
    </row>
    <row r="12" spans="20:23" x14ac:dyDescent="0.25">
      <c r="T12">
        <v>90</v>
      </c>
      <c r="U12">
        <f t="shared" si="0"/>
        <v>157.48566165136921</v>
      </c>
      <c r="V12">
        <f t="shared" si="3"/>
        <v>146.23456790123458</v>
      </c>
      <c r="W12">
        <f t="shared" si="2"/>
        <v>-11.251093750134629</v>
      </c>
    </row>
    <row r="13" spans="20:23" x14ac:dyDescent="0.25">
      <c r="T13">
        <v>100</v>
      </c>
      <c r="U13">
        <f t="shared" si="0"/>
        <v>153.58411166387219</v>
      </c>
      <c r="V13">
        <f t="shared" si="3"/>
        <v>150</v>
      </c>
      <c r="W13">
        <f t="shared" si="2"/>
        <v>-3.5841116638721928</v>
      </c>
    </row>
    <row r="14" spans="20:23" x14ac:dyDescent="0.25">
      <c r="T14">
        <v>110</v>
      </c>
      <c r="U14">
        <f t="shared" si="0"/>
        <v>149.74716458614387</v>
      </c>
      <c r="V14">
        <f t="shared" si="3"/>
        <v>156.23456790123458</v>
      </c>
      <c r="W14">
        <f t="shared" si="2"/>
        <v>6.4874033150907167</v>
      </c>
    </row>
    <row r="15" spans="20:23" x14ac:dyDescent="0.25">
      <c r="T15">
        <v>120</v>
      </c>
      <c r="U15">
        <f t="shared" si="0"/>
        <v>145.96800061190376</v>
      </c>
      <c r="V15">
        <f t="shared" si="3"/>
        <v>164.93827160493828</v>
      </c>
      <c r="W15">
        <f t="shared" si="2"/>
        <v>18.970270993034518</v>
      </c>
    </row>
    <row r="16" spans="20:23" x14ac:dyDescent="0.25">
      <c r="T16">
        <v>130</v>
      </c>
      <c r="U16">
        <f t="shared" si="0"/>
        <v>142.24102730280703</v>
      </c>
      <c r="V16">
        <f t="shared" si="3"/>
        <v>176.11111111111111</v>
      </c>
      <c r="W16">
        <f t="shared" si="2"/>
        <v>33.870083808304088</v>
      </c>
    </row>
    <row r="17" spans="9:23" x14ac:dyDescent="0.25">
      <c r="T17">
        <v>140</v>
      </c>
      <c r="U17">
        <f t="shared" si="0"/>
        <v>138.56158124034937</v>
      </c>
      <c r="V17">
        <f t="shared" si="3"/>
        <v>189.75308641975309</v>
      </c>
      <c r="W17">
        <f t="shared" si="2"/>
        <v>51.19150517940372</v>
      </c>
    </row>
    <row r="18" spans="9:23" x14ac:dyDescent="0.25">
      <c r="I18" t="s">
        <v>4</v>
      </c>
      <c r="J18" t="s">
        <v>3</v>
      </c>
      <c r="K18">
        <v>8</v>
      </c>
      <c r="M18" t="s">
        <v>25</v>
      </c>
      <c r="N18">
        <f>$K$24*9.81*($K$26+273)/101325/293/$K$25</f>
        <v>9.6280217156802041E-5</v>
      </c>
      <c r="O18">
        <f>N18*K18*10^6</f>
        <v>770.24173725441631</v>
      </c>
      <c r="T18">
        <v>150</v>
      </c>
      <c r="U18">
        <f t="shared" si="0"/>
        <v>134.92571836766362</v>
      </c>
      <c r="V18">
        <f t="shared" si="3"/>
        <v>205.8641975308642</v>
      </c>
      <c r="W18">
        <f t="shared" si="2"/>
        <v>70.938479163200583</v>
      </c>
    </row>
    <row r="19" spans="9:23" x14ac:dyDescent="0.25">
      <c r="I19" t="s">
        <v>5</v>
      </c>
      <c r="J19" t="s">
        <v>0</v>
      </c>
      <c r="K19">
        <v>2</v>
      </c>
      <c r="T19">
        <v>160</v>
      </c>
      <c r="U19">
        <f t="shared" si="0"/>
        <v>131.33006248539544</v>
      </c>
      <c r="V19">
        <f t="shared" si="3"/>
        <v>224.44444444444446</v>
      </c>
      <c r="W19">
        <f t="shared" si="2"/>
        <v>93.114381959049012</v>
      </c>
    </row>
    <row r="20" spans="9:23" x14ac:dyDescent="0.25">
      <c r="I20" t="s">
        <v>17</v>
      </c>
      <c r="J20" s="1" t="s">
        <v>1</v>
      </c>
      <c r="K20">
        <v>0.01</v>
      </c>
      <c r="M20" s="1" t="s">
        <v>34</v>
      </c>
      <c r="N20">
        <f>$K$24*0.1*(273+$K$26)/293/K18</f>
        <v>9.9445392491467575E-3</v>
      </c>
      <c r="T20">
        <v>170</v>
      </c>
      <c r="U20">
        <f t="shared" si="0"/>
        <v>127.77169313713112</v>
      </c>
      <c r="V20">
        <f t="shared" si="3"/>
        <v>245.49382716049382</v>
      </c>
      <c r="W20">
        <f t="shared" si="2"/>
        <v>117.7221340233627</v>
      </c>
    </row>
    <row r="21" spans="9:23" x14ac:dyDescent="0.25">
      <c r="I21" t="s">
        <v>6</v>
      </c>
      <c r="J21" t="s">
        <v>2</v>
      </c>
      <c r="K21">
        <v>2000</v>
      </c>
      <c r="M21" t="s">
        <v>33</v>
      </c>
      <c r="N21">
        <f>$K$28*101325*(273+$K$26)/293/$K$18/10^6/3600/24/($K$37^2/4*PI())</f>
        <v>8.4851516001861906</v>
      </c>
      <c r="T21">
        <v>180</v>
      </c>
      <c r="U21">
        <f t="shared" si="0"/>
        <v>124.24806092524034</v>
      </c>
      <c r="V21">
        <f t="shared" si="3"/>
        <v>269.01234567901236</v>
      </c>
      <c r="W21">
        <f t="shared" si="2"/>
        <v>144.76428475377202</v>
      </c>
    </row>
    <row r="22" spans="9:23" x14ac:dyDescent="0.25">
      <c r="M22" t="s">
        <v>30</v>
      </c>
      <c r="N22">
        <f>$K$27*$N$21^2*$N$20/2/K37</f>
        <v>3.7172518662361216</v>
      </c>
      <c r="T22">
        <v>190</v>
      </c>
      <c r="U22">
        <f t="shared" si="0"/>
        <v>120.75692239307537</v>
      </c>
      <c r="V22">
        <f t="shared" si="3"/>
        <v>295</v>
      </c>
      <c r="W22">
        <f t="shared" si="2"/>
        <v>174.24307760692463</v>
      </c>
    </row>
    <row r="23" spans="9:23" x14ac:dyDescent="0.25">
      <c r="I23" t="s">
        <v>7</v>
      </c>
      <c r="T23">
        <v>200</v>
      </c>
      <c r="U23">
        <f t="shared" si="0"/>
        <v>117.29628915999724</v>
      </c>
      <c r="V23">
        <f t="shared" si="3"/>
        <v>323.45679012345681</v>
      </c>
      <c r="W23">
        <f t="shared" si="2"/>
        <v>206.16050096345958</v>
      </c>
    </row>
    <row r="24" spans="9:23" ht="18" x14ac:dyDescent="0.35">
      <c r="I24" t="s">
        <v>8</v>
      </c>
      <c r="J24" s="1" t="s">
        <v>10</v>
      </c>
      <c r="K24">
        <v>0.7</v>
      </c>
      <c r="T24">
        <v>210</v>
      </c>
      <c r="U24">
        <f t="shared" si="0"/>
        <v>113.86438763256346</v>
      </c>
      <c r="V24">
        <f t="shared" si="3"/>
        <v>354.38271604938268</v>
      </c>
      <c r="W24">
        <f t="shared" si="2"/>
        <v>240.5183284168192</v>
      </c>
    </row>
    <row r="25" spans="9:23" ht="18" x14ac:dyDescent="0.35">
      <c r="I25" t="s">
        <v>9</v>
      </c>
      <c r="J25" t="s">
        <v>11</v>
      </c>
      <c r="K25">
        <v>0.8</v>
      </c>
      <c r="T25">
        <v>220</v>
      </c>
      <c r="U25">
        <f t="shared" si="0"/>
        <v>110.45962669375622</v>
      </c>
      <c r="V25">
        <f t="shared" si="3"/>
        <v>387.77777777777783</v>
      </c>
      <c r="W25">
        <f t="shared" si="2"/>
        <v>277.31815108402162</v>
      </c>
    </row>
    <row r="26" spans="9:23" x14ac:dyDescent="0.25">
      <c r="I26" t="s">
        <v>23</v>
      </c>
      <c r="J26" t="s">
        <v>24</v>
      </c>
      <c r="K26">
        <v>60</v>
      </c>
      <c r="T26">
        <v>230</v>
      </c>
      <c r="U26">
        <f t="shared" si="0"/>
        <v>107.08057149956292</v>
      </c>
      <c r="V26">
        <f t="shared" si="3"/>
        <v>423.64197530864197</v>
      </c>
      <c r="W26">
        <f t="shared" si="2"/>
        <v>316.56140380907902</v>
      </c>
    </row>
    <row r="27" spans="9:23" x14ac:dyDescent="0.25">
      <c r="I27" t="s">
        <v>26</v>
      </c>
      <c r="J27" s="1" t="s">
        <v>27</v>
      </c>
      <c r="K27">
        <v>5.1918018622395513E-2</v>
      </c>
      <c r="M27" t="s">
        <v>35</v>
      </c>
      <c r="N27">
        <f>$K$28*101325*(273+$K$26)/293/$K$18/10^6</f>
        <v>14.394720563139932</v>
      </c>
      <c r="T27">
        <v>240</v>
      </c>
      <c r="U27">
        <f t="shared" si="0"/>
        <v>103.72592201317096</v>
      </c>
      <c r="V27">
        <f t="shared" si="3"/>
        <v>461.97530864197529</v>
      </c>
      <c r="W27">
        <f t="shared" si="2"/>
        <v>358.24938662880436</v>
      </c>
    </row>
    <row r="28" spans="9:23" x14ac:dyDescent="0.25">
      <c r="I28" t="s">
        <v>31</v>
      </c>
      <c r="J28" t="s">
        <v>32</v>
      </c>
      <c r="K28">
        <v>1000</v>
      </c>
      <c r="M28" t="s">
        <v>36</v>
      </c>
      <c r="N28">
        <f>$N$27/3600/24/(PI()*$K$36^2/4)</f>
        <v>3.4866665023776257E-2</v>
      </c>
      <c r="T28">
        <v>250</v>
      </c>
      <c r="U28">
        <f t="shared" si="0"/>
        <v>100.39449525853885</v>
      </c>
      <c r="V28">
        <f t="shared" si="3"/>
        <v>502.77777777777783</v>
      </c>
      <c r="W28">
        <f t="shared" si="2"/>
        <v>402.38328251923895</v>
      </c>
    </row>
    <row r="29" spans="9:23" x14ac:dyDescent="0.25">
      <c r="M29" t="s">
        <v>39</v>
      </c>
      <c r="N29">
        <f>$K$31*$N$28^2*$K$30/2/$K$36^2</f>
        <v>8.4918681658181612</v>
      </c>
      <c r="T29">
        <v>260</v>
      </c>
      <c r="U29">
        <f t="shared" si="0"/>
        <v>97.085210525935778</v>
      </c>
      <c r="V29">
        <f t="shared" si="3"/>
        <v>546.04938271604942</v>
      </c>
      <c r="W29">
        <f t="shared" si="2"/>
        <v>448.96417219011363</v>
      </c>
    </row>
    <row r="30" spans="9:23" ht="18" x14ac:dyDescent="0.35">
      <c r="I30" t="s">
        <v>12</v>
      </c>
      <c r="J30" s="1" t="s">
        <v>13</v>
      </c>
      <c r="K30">
        <v>850</v>
      </c>
      <c r="T30">
        <v>270</v>
      </c>
      <c r="U30">
        <f t="shared" si="0"/>
        <v>93.797076943809813</v>
      </c>
      <c r="V30">
        <f t="shared" si="3"/>
        <v>591.79012345679007</v>
      </c>
      <c r="W30">
        <f t="shared" si="2"/>
        <v>497.99304651298024</v>
      </c>
    </row>
    <row r="31" spans="9:23" x14ac:dyDescent="0.25">
      <c r="I31" t="s">
        <v>29</v>
      </c>
      <c r="J31" s="1" t="s">
        <v>28</v>
      </c>
      <c r="K31">
        <v>9.9996016576069796E-2</v>
      </c>
      <c r="M31" t="s">
        <v>40</v>
      </c>
      <c r="N31">
        <f>$K$37^2/($K$36^2-$K$38^2)*(1-$K$33)</f>
        <v>3.720238095238095E-3</v>
      </c>
      <c r="T31">
        <v>280</v>
      </c>
      <c r="U31">
        <f t="shared" si="0"/>
        <v>90.52918296491579</v>
      </c>
      <c r="V31">
        <f t="shared" si="3"/>
        <v>640</v>
      </c>
      <c r="W31">
        <f t="shared" si="2"/>
        <v>549.47081703508422</v>
      </c>
    </row>
    <row r="32" spans="9:23" x14ac:dyDescent="0.25">
      <c r="T32">
        <v>290</v>
      </c>
      <c r="U32">
        <f t="shared" si="0"/>
        <v>87.280687414059798</v>
      </c>
      <c r="V32">
        <f t="shared" si="3"/>
        <v>690.67901234567898</v>
      </c>
      <c r="W32">
        <f t="shared" si="2"/>
        <v>603.39832493161919</v>
      </c>
    </row>
    <row r="33" spans="9:28" x14ac:dyDescent="0.25">
      <c r="I33" t="s">
        <v>14</v>
      </c>
      <c r="J33" t="s">
        <v>15</v>
      </c>
      <c r="K33">
        <v>0.1</v>
      </c>
      <c r="M33" t="s">
        <v>41</v>
      </c>
      <c r="N33">
        <f>$K$18*10^6-$K$19*10^6-$K$20*10^6-$K$21*($N$22-$N$18*$K$18*10^6)/((1+N31)*($K$30*9.81+$N$29)+$N$22-$N$18*$K$18*10^6)</f>
        <v>5990201.4116673861</v>
      </c>
      <c r="T33">
        <v>300</v>
      </c>
      <c r="U33">
        <f t="shared" si="0"/>
        <v>84.050811819696222</v>
      </c>
      <c r="V33">
        <f t="shared" si="3"/>
        <v>743.82716049382714</v>
      </c>
      <c r="W33">
        <f t="shared" si="2"/>
        <v>659.77634867413087</v>
      </c>
    </row>
    <row r="34" spans="9:28" x14ac:dyDescent="0.25">
      <c r="N34">
        <f>((1+N31)*($K$30*9.81+$N$29)+$N$22-$N$18*$K$18*10^6)</f>
        <v>7611.5201799062315</v>
      </c>
      <c r="T34">
        <v>310</v>
      </c>
      <c r="U34">
        <f t="shared" si="0"/>
        <v>80.838833808629516</v>
      </c>
      <c r="V34">
        <f t="shared" si="3"/>
        <v>799.44444444444434</v>
      </c>
      <c r="W34">
        <f t="shared" si="2"/>
        <v>718.60561063581486</v>
      </c>
    </row>
    <row r="35" spans="9:28" ht="18" x14ac:dyDescent="0.35">
      <c r="I35" t="s">
        <v>19</v>
      </c>
      <c r="J35" t="s">
        <v>16</v>
      </c>
      <c r="K35">
        <v>8.8999999999999996E-2</v>
      </c>
      <c r="N35">
        <f>$K$18*10^6-$K$19*10^6-$K$20*10^6-$K$21*($N$22-$N$18*$K$18*10^6)</f>
        <v>7523048.9707763605</v>
      </c>
      <c r="T35">
        <v>320</v>
      </c>
      <c r="U35">
        <f t="shared" si="0"/>
        <v>77.644081386923148</v>
      </c>
      <c r="V35">
        <f t="shared" si="3"/>
        <v>857.53086419753083</v>
      </c>
      <c r="W35">
        <f t="shared" si="2"/>
        <v>779.88678281060766</v>
      </c>
    </row>
    <row r="36" spans="9:28" ht="18" x14ac:dyDescent="0.35">
      <c r="I36" t="s">
        <v>37</v>
      </c>
      <c r="J36" t="s">
        <v>38</v>
      </c>
      <c r="K36">
        <v>7.8E-2</v>
      </c>
      <c r="N36">
        <f>$K$21*($N$22-$N$18*$K$18*10^6)</f>
        <v>-1533048.9707763605</v>
      </c>
      <c r="T36">
        <v>330</v>
      </c>
      <c r="U36">
        <f t="shared" si="0"/>
        <v>74.465927964158638</v>
      </c>
      <c r="V36">
        <f t="shared" si="3"/>
        <v>918.08641975308649</v>
      </c>
      <c r="W36">
        <f t="shared" si="2"/>
        <v>843.62049178892789</v>
      </c>
    </row>
    <row r="37" spans="9:28" ht="18" x14ac:dyDescent="0.35">
      <c r="I37" t="s">
        <v>22</v>
      </c>
      <c r="J37" t="s">
        <v>20</v>
      </c>
      <c r="K37">
        <v>5.0000000000000001E-3</v>
      </c>
      <c r="N37">
        <f>$K$18*10^6-$K$19*10^6-$K$20*10^6-$K$21*($N$22)/((1+N31)*($K$30*9.81+$N$29)+$N$22)</f>
        <v>5989999.1130142082</v>
      </c>
      <c r="T37">
        <v>340</v>
      </c>
      <c r="U37">
        <f t="shared" si="0"/>
        <v>71.303788004846126</v>
      </c>
      <c r="V37">
        <f t="shared" si="3"/>
        <v>981.1111111111112</v>
      </c>
      <c r="W37">
        <f t="shared" si="2"/>
        <v>909.80732310626513</v>
      </c>
    </row>
    <row r="38" spans="9:28" ht="18" x14ac:dyDescent="0.35">
      <c r="I38" t="s">
        <v>21</v>
      </c>
      <c r="J38" t="s">
        <v>18</v>
      </c>
      <c r="K38">
        <v>6.0000000000000001E-3</v>
      </c>
      <c r="M38" t="s">
        <v>41</v>
      </c>
      <c r="N38">
        <f>$K$18*10^6-$K$19*10^6-$K$20*10^6/(1+N31)*($K$30*9.81)</f>
        <v>-77075937.731653064</v>
      </c>
      <c r="T38">
        <v>350</v>
      </c>
      <c r="U38">
        <f t="shared" si="0"/>
        <v>68.157113211833803</v>
      </c>
      <c r="V38">
        <f t="shared" si="3"/>
        <v>1046.6049382716051</v>
      </c>
      <c r="W38">
        <f t="shared" si="2"/>
        <v>978.44782505977128</v>
      </c>
    </row>
    <row r="39" spans="9:28" x14ac:dyDescent="0.25">
      <c r="T39">
        <v>360</v>
      </c>
      <c r="U39">
        <f t="shared" si="0"/>
        <v>65.025389163302975</v>
      </c>
      <c r="V39">
        <f t="shared" si="3"/>
        <v>1114.5679012345679</v>
      </c>
      <c r="W39">
        <f t="shared" si="2"/>
        <v>1049.5425120712648</v>
      </c>
    </row>
    <row r="40" spans="9:28" x14ac:dyDescent="0.25">
      <c r="T40">
        <v>370</v>
      </c>
      <c r="U40">
        <f t="shared" si="0"/>
        <v>61.908132338352743</v>
      </c>
      <c r="V40">
        <f t="shared" si="3"/>
        <v>1185</v>
      </c>
      <c r="W40">
        <f t="shared" si="2"/>
        <v>1123.0918676616473</v>
      </c>
    </row>
    <row r="41" spans="9:28" x14ac:dyDescent="0.25">
      <c r="T41">
        <v>380</v>
      </c>
      <c r="U41">
        <f t="shared" si="0"/>
        <v>58.804887476990871</v>
      </c>
      <c r="V41">
        <f t="shared" si="3"/>
        <v>1257.9012345679012</v>
      </c>
      <c r="W41">
        <f t="shared" si="2"/>
        <v>1199.0963470909103</v>
      </c>
    </row>
    <row r="42" spans="9:28" x14ac:dyDescent="0.25">
      <c r="T42">
        <v>390</v>
      </c>
      <c r="U42">
        <f t="shared" si="0"/>
        <v>55.715225229134091</v>
      </c>
      <c r="V42">
        <f t="shared" si="3"/>
        <v>1333.2716049382716</v>
      </c>
      <c r="W42">
        <f t="shared" si="2"/>
        <v>1277.5563797091374</v>
      </c>
    </row>
    <row r="43" spans="9:28" x14ac:dyDescent="0.25">
      <c r="T43">
        <v>400</v>
      </c>
      <c r="U43">
        <f t="shared" si="0"/>
        <v>52.638740054384556</v>
      </c>
      <c r="V43">
        <f t="shared" si="3"/>
        <v>1411.1111111111113</v>
      </c>
      <c r="W43">
        <f t="shared" si="2"/>
        <v>1358.4723710567268</v>
      </c>
    </row>
    <row r="44" spans="9:28" x14ac:dyDescent="0.25">
      <c r="T44">
        <v>410</v>
      </c>
      <c r="U44">
        <f t="shared" si="0"/>
        <v>49.575048340237345</v>
      </c>
      <c r="V44">
        <f t="shared" si="3"/>
        <v>1491.4197530864196</v>
      </c>
      <c r="W44">
        <f t="shared" si="2"/>
        <v>1441.8447047461823</v>
      </c>
    </row>
    <row r="45" spans="9:28" x14ac:dyDescent="0.25">
      <c r="T45">
        <v>420</v>
      </c>
      <c r="U45">
        <f t="shared" si="0"/>
        <v>46.523786711235289</v>
      </c>
      <c r="V45">
        <f>((T45-100)/9)^2+0.5*T45+100</f>
        <v>1574.1975308641977</v>
      </c>
      <c r="W45">
        <f t="shared" si="2"/>
        <v>1527.6737441529624</v>
      </c>
    </row>
    <row r="46" spans="9:28" x14ac:dyDescent="0.25">
      <c r="T46">
        <v>430</v>
      </c>
      <c r="U46">
        <f t="shared" si="0"/>
        <v>43.484610505610391</v>
      </c>
      <c r="V46">
        <f t="shared" ref="V46:V51" si="4">((T46-100)/9)^2+0.5*T46+100</f>
        <v>1659.4444444444443</v>
      </c>
      <c r="W46">
        <f t="shared" si="2"/>
        <v>1615.959833938834</v>
      </c>
    </row>
    <row r="47" spans="9:28" x14ac:dyDescent="0.25">
      <c r="T47">
        <v>440</v>
      </c>
      <c r="U47">
        <f t="shared" si="0"/>
        <v>40.457192399320093</v>
      </c>
      <c r="V47">
        <f t="shared" si="4"/>
        <v>1747.1604938271605</v>
      </c>
      <c r="W47">
        <f t="shared" si="2"/>
        <v>1706.7033014278404</v>
      </c>
    </row>
    <row r="48" spans="9:28" x14ac:dyDescent="0.25">
      <c r="T48">
        <v>450</v>
      </c>
      <c r="U48">
        <f t="shared" si="0"/>
        <v>37.441221160191276</v>
      </c>
      <c r="V48">
        <f t="shared" si="4"/>
        <v>1837.3456790123455</v>
      </c>
      <c r="W48">
        <f t="shared" si="2"/>
        <v>1799.9044578521543</v>
      </c>
      <c r="Y48" t="s">
        <v>157</v>
      </c>
      <c r="Z48" t="s">
        <v>158</v>
      </c>
      <c r="AA48" t="s">
        <v>159</v>
      </c>
      <c r="AB48" s="1" t="s">
        <v>160</v>
      </c>
    </row>
    <row r="49" spans="20:28" x14ac:dyDescent="0.25">
      <c r="T49">
        <v>460</v>
      </c>
      <c r="U49">
        <f t="shared" si="0"/>
        <v>34.436400517255407</v>
      </c>
      <c r="V49">
        <f t="shared" si="4"/>
        <v>1930</v>
      </c>
      <c r="W49">
        <f t="shared" si="2"/>
        <v>1895.5635994827446</v>
      </c>
      <c r="Y49">
        <v>103.84147059280399</v>
      </c>
      <c r="Z49">
        <f>200-Y49^(5/6)</f>
        <v>152.10292142537108</v>
      </c>
      <c r="AA49">
        <f>((Y49-100)/9)^2+0.5*Y49+100</f>
        <v>152.10291920153011</v>
      </c>
      <c r="AB49">
        <f>AA49-Z49</f>
        <v>-2.223840965598356E-6</v>
      </c>
    </row>
    <row r="50" spans="20:28" x14ac:dyDescent="0.25">
      <c r="T50">
        <v>470</v>
      </c>
      <c r="U50">
        <f t="shared" si="0"/>
        <v>31.442448132353064</v>
      </c>
      <c r="V50">
        <f t="shared" si="4"/>
        <v>2025.1234567901238</v>
      </c>
      <c r="W50">
        <f t="shared" si="2"/>
        <v>1993.6810086577707</v>
      </c>
    </row>
    <row r="51" spans="20:28" x14ac:dyDescent="0.25">
      <c r="T51">
        <v>480</v>
      </c>
      <c r="U51">
        <f t="shared" si="0"/>
        <v>28.45909466278178</v>
      </c>
      <c r="V51">
        <f t="shared" si="4"/>
        <v>2122.7160493827159</v>
      </c>
      <c r="W51">
        <f t="shared" si="2"/>
        <v>2094.2569547199341</v>
      </c>
    </row>
    <row r="52" spans="20:28" x14ac:dyDescent="0.25">
      <c r="T52">
        <v>481</v>
      </c>
      <c r="U52">
        <f t="shared" si="0"/>
        <v>28.161332253005213</v>
      </c>
      <c r="V52">
        <f>((T52-100)/9)^2+0.5*T52+100</f>
        <v>2132.6111111111113</v>
      </c>
      <c r="W52">
        <f t="shared" si="2"/>
        <v>2104.4497788581061</v>
      </c>
    </row>
    <row r="53" spans="20:28" x14ac:dyDescent="0.25">
      <c r="T53">
        <v>482</v>
      </c>
      <c r="U53">
        <f t="shared" si="0"/>
        <v>27.863673000214391</v>
      </c>
      <c r="V53">
        <f t="shared" ref="V53:V57" si="5">((T53-100)/9)^2+0.5*T53+100</f>
        <v>2142.5308641975307</v>
      </c>
      <c r="W53">
        <f t="shared" si="2"/>
        <v>2114.6671911973162</v>
      </c>
    </row>
    <row r="54" spans="20:28" x14ac:dyDescent="0.25">
      <c r="T54">
        <v>483</v>
      </c>
      <c r="U54">
        <f t="shared" si="0"/>
        <v>27.566116654763562</v>
      </c>
      <c r="V54">
        <f t="shared" si="5"/>
        <v>2152.4753086419755</v>
      </c>
      <c r="W54">
        <f t="shared" si="2"/>
        <v>2124.9091919872121</v>
      </c>
    </row>
    <row r="55" spans="20:28" x14ac:dyDescent="0.25">
      <c r="T55">
        <v>484</v>
      </c>
      <c r="U55">
        <f t="shared" si="0"/>
        <v>27.268662968126762</v>
      </c>
      <c r="V55">
        <f t="shared" si="5"/>
        <v>2162.4444444444443</v>
      </c>
      <c r="W55">
        <f t="shared" si="2"/>
        <v>2135.1757814763178</v>
      </c>
    </row>
    <row r="56" spans="20:28" x14ac:dyDescent="0.25">
      <c r="T56">
        <v>485</v>
      </c>
      <c r="U56">
        <f t="shared" si="0"/>
        <v>26.97131169289068</v>
      </c>
      <c r="V56">
        <f t="shared" si="5"/>
        <v>2172.4382716049386</v>
      </c>
      <c r="W56">
        <f t="shared" si="2"/>
        <v>2145.466959912048</v>
      </c>
    </row>
    <row r="57" spans="20:28" x14ac:dyDescent="0.25">
      <c r="T57">
        <v>486</v>
      </c>
      <c r="U57">
        <f t="shared" si="0"/>
        <v>26.674062582746643</v>
      </c>
      <c r="V57">
        <f t="shared" si="5"/>
        <v>2182.4567901234568</v>
      </c>
      <c r="W57">
        <f t="shared" si="2"/>
        <v>2155.7827275407103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A1CA-8219-4B69-BA1B-E43ECF64A247}">
  <sheetPr codeName="Лист2"/>
  <dimension ref="A10:AJ148"/>
  <sheetViews>
    <sheetView topLeftCell="A43" zoomScale="115" zoomScaleNormal="115" workbookViewId="0">
      <selection activeCell="C43" sqref="C43"/>
    </sheetView>
  </sheetViews>
  <sheetFormatPr defaultRowHeight="15" x14ac:dyDescent="0.25"/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6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6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6" ht="45" x14ac:dyDescent="0.25">
      <c r="B19" s="12" t="s">
        <v>59</v>
      </c>
      <c r="C19" s="4">
        <v>0</v>
      </c>
    </row>
    <row r="21" spans="1:6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6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6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6" x14ac:dyDescent="0.25">
      <c r="B24" t="s">
        <v>137</v>
      </c>
      <c r="C24" t="e" cm="1">
        <f t="array" ref="C24">[1]!encode_feed(Qliq,f_sep,,q_gas_GLV,PVT_json)</f>
        <v>#VALUE!</v>
      </c>
    </row>
    <row r="26" spans="1:6" x14ac:dyDescent="0.25">
      <c r="A26" s="2" t="s">
        <v>62</v>
      </c>
    </row>
    <row r="27" spans="1:6" ht="18.75" x14ac:dyDescent="0.35">
      <c r="B27" s="9" t="s">
        <v>66</v>
      </c>
      <c r="C27" s="4">
        <v>22.677059528733164</v>
      </c>
      <c r="D27" s="8" t="s">
        <v>65</v>
      </c>
    </row>
    <row r="28" spans="1:6" ht="18.75" x14ac:dyDescent="0.35">
      <c r="B28" s="9" t="s">
        <v>67</v>
      </c>
      <c r="C28" s="4">
        <v>5500</v>
      </c>
      <c r="D28" s="8" t="s">
        <v>64</v>
      </c>
    </row>
    <row r="29" spans="1:6" ht="18" x14ac:dyDescent="0.35">
      <c r="B29" s="9" t="s">
        <v>127</v>
      </c>
      <c r="C29" s="4">
        <v>10</v>
      </c>
      <c r="D29" s="8" t="s">
        <v>63</v>
      </c>
    </row>
    <row r="31" spans="1:6" x14ac:dyDescent="0.25">
      <c r="A31" s="2" t="s">
        <v>68</v>
      </c>
    </row>
    <row r="32" spans="1:6" ht="18" x14ac:dyDescent="0.35">
      <c r="B32" s="9" t="s">
        <v>72</v>
      </c>
      <c r="C32" s="4">
        <v>30</v>
      </c>
      <c r="D32" s="8" t="s">
        <v>71</v>
      </c>
      <c r="F32" t="s">
        <v>149</v>
      </c>
    </row>
    <row r="33" spans="1:7" ht="18" x14ac:dyDescent="0.35">
      <c r="B33" s="9" t="s">
        <v>77</v>
      </c>
      <c r="C33" s="8">
        <v>30</v>
      </c>
      <c r="D33" s="8" t="s">
        <v>71</v>
      </c>
      <c r="F33" t="s">
        <v>150</v>
      </c>
      <c r="G33" t="e">
        <f>P_line_calc</f>
        <v>#VALUE!</v>
      </c>
    </row>
    <row r="34" spans="1:7" ht="18" x14ac:dyDescent="0.35">
      <c r="B34" s="9" t="s">
        <v>78</v>
      </c>
      <c r="C34" s="8">
        <f>pcas_calc</f>
        <v>0</v>
      </c>
      <c r="D34" s="8" t="s">
        <v>71</v>
      </c>
      <c r="F34" s="1" t="s">
        <v>151</v>
      </c>
      <c r="G34" s="24" t="e">
        <f>ABS(G33-P_wh)</f>
        <v>#VALUE!</v>
      </c>
    </row>
    <row r="35" spans="1:7" ht="18" x14ac:dyDescent="0.35">
      <c r="B35" s="9" t="s">
        <v>79</v>
      </c>
      <c r="C35" s="4">
        <v>100</v>
      </c>
      <c r="D35" s="8" t="s">
        <v>71</v>
      </c>
    </row>
    <row r="36" spans="1:7" ht="18" x14ac:dyDescent="0.35">
      <c r="B36" s="9" t="s">
        <v>69</v>
      </c>
      <c r="C36" s="4">
        <v>50</v>
      </c>
      <c r="D36" s="8" t="s">
        <v>70</v>
      </c>
    </row>
    <row r="38" spans="1:7" x14ac:dyDescent="0.25">
      <c r="A38" s="2" t="s">
        <v>73</v>
      </c>
    </row>
    <row r="39" spans="1:7" ht="18" x14ac:dyDescent="0.35">
      <c r="B39" s="9" t="s">
        <v>74</v>
      </c>
      <c r="C39" s="4">
        <v>220</v>
      </c>
      <c r="D39" s="8" t="s">
        <v>71</v>
      </c>
    </row>
    <row r="40" spans="1:7" x14ac:dyDescent="0.25">
      <c r="B40" s="9" t="s">
        <v>75</v>
      </c>
      <c r="C40" s="4">
        <v>0.5</v>
      </c>
      <c r="D40" s="8" t="s">
        <v>76</v>
      </c>
    </row>
    <row r="41" spans="1:7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</row>
    <row r="42" spans="1:7" x14ac:dyDescent="0.25">
      <c r="A42" s="2" t="s">
        <v>80</v>
      </c>
    </row>
    <row r="43" spans="1:7" ht="18" x14ac:dyDescent="0.35">
      <c r="B43" s="9" t="s">
        <v>84</v>
      </c>
      <c r="C43" s="4">
        <v>3500</v>
      </c>
      <c r="D43" s="8" t="s">
        <v>82</v>
      </c>
    </row>
    <row r="44" spans="1:7" ht="18" x14ac:dyDescent="0.35">
      <c r="B44" s="9" t="s">
        <v>85</v>
      </c>
      <c r="C44" s="4">
        <v>1900</v>
      </c>
      <c r="D44" s="8" t="s">
        <v>82</v>
      </c>
    </row>
    <row r="45" spans="1:7" ht="18" x14ac:dyDescent="0.35">
      <c r="B45" s="9" t="s">
        <v>86</v>
      </c>
      <c r="C45" s="4">
        <v>2200</v>
      </c>
      <c r="D45" s="8" t="s">
        <v>82</v>
      </c>
    </row>
    <row r="46" spans="1:7" ht="18" x14ac:dyDescent="0.35">
      <c r="B46" s="9" t="s">
        <v>87</v>
      </c>
      <c r="C46" s="4">
        <v>140</v>
      </c>
      <c r="D46" s="8" t="s">
        <v>83</v>
      </c>
    </row>
    <row r="47" spans="1:7" ht="18" x14ac:dyDescent="0.35">
      <c r="B47" s="9" t="s">
        <v>88</v>
      </c>
      <c r="C47" s="4">
        <v>65</v>
      </c>
      <c r="D47" s="8" t="s">
        <v>83</v>
      </c>
    </row>
    <row r="48" spans="1:7" ht="18" x14ac:dyDescent="0.35">
      <c r="B48" s="9" t="s">
        <v>89</v>
      </c>
      <c r="C48" s="4">
        <v>3</v>
      </c>
      <c r="D48" s="8" t="s">
        <v>83</v>
      </c>
      <c r="E48" t="s">
        <v>100</v>
      </c>
    </row>
    <row r="49" spans="2:12" ht="18" x14ac:dyDescent="0.35">
      <c r="B49" s="9" t="s">
        <v>90</v>
      </c>
      <c r="C49" s="4">
        <v>15</v>
      </c>
      <c r="D49" s="8" t="s">
        <v>83</v>
      </c>
      <c r="F49">
        <v>1</v>
      </c>
    </row>
    <row r="50" spans="2:12" ht="18" x14ac:dyDescent="0.35">
      <c r="B50" s="9" t="s">
        <v>91</v>
      </c>
      <c r="C50" s="4">
        <v>16</v>
      </c>
      <c r="D50" s="8" t="s">
        <v>83</v>
      </c>
      <c r="F50">
        <v>1</v>
      </c>
    </row>
    <row r="51" spans="2:12" ht="18" x14ac:dyDescent="0.35">
      <c r="B51" s="9" t="s">
        <v>134</v>
      </c>
      <c r="C51" s="4">
        <v>5</v>
      </c>
      <c r="D51" s="8" t="s">
        <v>83</v>
      </c>
    </row>
    <row r="53" spans="2:12" x14ac:dyDescent="0.25">
      <c r="B53" s="30" t="s">
        <v>92</v>
      </c>
      <c r="C53" s="30"/>
      <c r="H53" t="s">
        <v>95</v>
      </c>
      <c r="K53" t="s">
        <v>96</v>
      </c>
    </row>
    <row r="54" spans="2:1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</row>
    <row r="55" spans="2:1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</row>
    <row r="56" spans="2:12" x14ac:dyDescent="0.25">
      <c r="B56" s="4">
        <v>1000</v>
      </c>
      <c r="C56" s="4">
        <v>1000</v>
      </c>
      <c r="H56" s="4">
        <f t="shared" ref="H56:H75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:K75" si="1">(Hgas_inj)/npt+K55</f>
        <v>110</v>
      </c>
      <c r="L56" s="4" cm="1">
        <f t="array" ref="L56">[1]!crv_interpolation($B$55:$B$71,$C$55:$C$71,K56)</f>
        <v>110</v>
      </c>
    </row>
    <row r="57" spans="2:12" x14ac:dyDescent="0.25">
      <c r="B57" s="4">
        <v>1100</v>
      </c>
      <c r="C57" s="4">
        <v>1096</v>
      </c>
      <c r="H57" s="4">
        <f t="shared" si="0"/>
        <v>2330</v>
      </c>
      <c r="I57" s="4" cm="1">
        <f t="array" ref="I57">[1]!crv_interpolation($B$55:$B$71,$C$55:$C$71,H57)</f>
        <v>2125.3000000000002</v>
      </c>
      <c r="K57" s="4">
        <f t="shared" si="1"/>
        <v>220</v>
      </c>
      <c r="L57" s="4" cm="1">
        <f t="array" ref="L57">[1]!crv_interpolation($B$55:$B$71,$C$55:$C$71,K57)</f>
        <v>220</v>
      </c>
    </row>
    <row r="58" spans="2:12" x14ac:dyDescent="0.25">
      <c r="B58" s="4">
        <v>1200</v>
      </c>
      <c r="C58" s="4">
        <v>1191</v>
      </c>
      <c r="E58" t="s">
        <v>107</v>
      </c>
      <c r="H58" s="4">
        <f t="shared" si="0"/>
        <v>2395</v>
      </c>
      <c r="I58" s="4" cm="1">
        <f t="array" ref="I58">[1]!crv_interpolation($B$55:$B$71,$C$55:$C$71,H58)</f>
        <v>2171.4499999999998</v>
      </c>
      <c r="K58" s="4">
        <f t="shared" si="1"/>
        <v>330</v>
      </c>
      <c r="L58" s="4" cm="1">
        <f t="array" ref="L58">[1]!crv_interpolation($B$55:$B$71,$C$55:$C$71,K58)</f>
        <v>330</v>
      </c>
    </row>
    <row r="59" spans="2:1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si="0"/>
        <v>2460</v>
      </c>
      <c r="I59" s="4" cm="1">
        <f t="array" ref="I59">[1]!crv_interpolation($B$55:$B$71,$C$55:$C$71,H59)</f>
        <v>2216.4</v>
      </c>
      <c r="K59" s="4">
        <f t="shared" si="1"/>
        <v>440</v>
      </c>
      <c r="L59" s="4" cm="1">
        <f t="array" ref="L59">[1]!crv_interpolation($B$55:$B$71,$C$55:$C$71,K59)</f>
        <v>440</v>
      </c>
    </row>
    <row r="60" spans="2:1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si="0"/>
        <v>2525</v>
      </c>
      <c r="I60" s="4" cm="1">
        <f t="array" ref="I60">[1]!crv_interpolation($B$55:$B$71,$C$55:$C$71,H60)</f>
        <v>2261.25</v>
      </c>
      <c r="K60" s="4">
        <f t="shared" si="1"/>
        <v>550</v>
      </c>
      <c r="L60" s="4" cm="1">
        <f t="array" ref="L60">[1]!crv_interpolation($B$55:$B$71,$C$55:$C$71,K60)</f>
        <v>550</v>
      </c>
    </row>
    <row r="61" spans="2:1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si="0"/>
        <v>2590</v>
      </c>
      <c r="I61" s="4" cm="1">
        <f t="array" ref="I61">[1]!crv_interpolation($B$55:$B$71,$C$55:$C$71,H61)</f>
        <v>2306.1</v>
      </c>
      <c r="K61" s="4">
        <f t="shared" si="1"/>
        <v>660</v>
      </c>
      <c r="L61" s="4" cm="1">
        <f t="array" ref="L61">[1]!crv_interpolation($B$55:$B$71,$C$55:$C$71,K61)</f>
        <v>660</v>
      </c>
    </row>
    <row r="62" spans="2:1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si="0"/>
        <v>2655</v>
      </c>
      <c r="I62" s="4" cm="1">
        <f t="array" ref="I62">[1]!crv_interpolation($B$55:$B$71,$C$55:$C$71,H62)</f>
        <v>2350.9499999999998</v>
      </c>
      <c r="K62" s="4">
        <f t="shared" si="1"/>
        <v>770</v>
      </c>
      <c r="L62" s="4" cm="1">
        <f t="array" ref="L62">[1]!crv_interpolation($B$55:$B$71,$C$55:$C$71,K62)</f>
        <v>770</v>
      </c>
    </row>
    <row r="63" spans="2:12" x14ac:dyDescent="0.25">
      <c r="B63" s="4">
        <v>1700</v>
      </c>
      <c r="C63" s="4">
        <v>1636</v>
      </c>
      <c r="H63" s="4">
        <f t="shared" si="0"/>
        <v>2720</v>
      </c>
      <c r="I63" s="4" cm="1">
        <f t="array" ref="I63">[1]!crv_interpolation($B$55:$B$71,$C$55:$C$71,H63)</f>
        <v>2395.8000000000002</v>
      </c>
      <c r="K63" s="4">
        <f t="shared" si="1"/>
        <v>880</v>
      </c>
      <c r="L63" s="4" cm="1">
        <f t="array" ref="L63">[1]!crv_interpolation($B$55:$B$71,$C$55:$C$71,K63)</f>
        <v>880</v>
      </c>
    </row>
    <row r="64" spans="2:12" x14ac:dyDescent="0.25">
      <c r="B64" s="4">
        <v>1800</v>
      </c>
      <c r="C64" s="4">
        <v>1719</v>
      </c>
      <c r="E64" t="s">
        <v>108</v>
      </c>
      <c r="H64" s="4">
        <f t="shared" si="0"/>
        <v>2785</v>
      </c>
      <c r="I64" s="4" cm="1">
        <f t="array" ref="I64">[1]!crv_interpolation($B$55:$B$71,$C$55:$C$71,H64)</f>
        <v>2440.65</v>
      </c>
      <c r="K64" s="4">
        <f t="shared" si="1"/>
        <v>990</v>
      </c>
      <c r="L64" s="4" cm="1">
        <f t="array" ref="L64">[1]!crv_interpolation($B$55:$B$71,$C$55:$C$71,K64)</f>
        <v>990</v>
      </c>
    </row>
    <row r="65" spans="2:15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si="0"/>
        <v>2850</v>
      </c>
      <c r="I65" s="4" cm="1">
        <f t="array" ref="I65">[1]!crv_interpolation($B$55:$B$71,$C$55:$C$71,H65)</f>
        <v>2485.5</v>
      </c>
      <c r="K65" s="4">
        <f t="shared" si="1"/>
        <v>1100</v>
      </c>
      <c r="L65" s="4" cm="1">
        <f t="array" ref="L65">[1]!crv_interpolation($B$55:$B$71,$C$55:$C$71,K65)</f>
        <v>1096</v>
      </c>
    </row>
    <row r="66" spans="2:15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si="0"/>
        <v>2915</v>
      </c>
      <c r="I66" s="4" cm="1">
        <f t="array" ref="I66">[1]!crv_interpolation($B$55:$B$71,$C$55:$C$71,H66)</f>
        <v>2530.35</v>
      </c>
      <c r="K66" s="4">
        <f t="shared" si="1"/>
        <v>1210</v>
      </c>
      <c r="L66" s="4" cm="1">
        <f t="array" ref="L66">[1]!crv_interpolation($B$55:$B$71,$C$55:$C$71,K66)</f>
        <v>1200.3</v>
      </c>
    </row>
    <row r="67" spans="2:15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si="0"/>
        <v>2980</v>
      </c>
      <c r="I67" s="4" cm="1">
        <f t="array" ref="I67">[1]!crv_interpolation($B$55:$B$71,$C$55:$C$71,H67)</f>
        <v>2575.1999999999998</v>
      </c>
      <c r="K67" s="4">
        <f t="shared" si="1"/>
        <v>1320</v>
      </c>
      <c r="L67" s="4" cm="1">
        <f t="array" ref="L67">[1]!crv_interpolation($B$55:$B$71,$C$55:$C$71,K67)</f>
        <v>1302.2</v>
      </c>
    </row>
    <row r="68" spans="2:15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si="0"/>
        <v>3045</v>
      </c>
      <c r="I68" s="4" cm="1">
        <f t="array" ref="I68">[1]!crv_interpolation($B$55:$B$71,$C$55:$C$71,H68)</f>
        <v>2620.0500000000002</v>
      </c>
      <c r="K68" s="4">
        <f t="shared" si="1"/>
        <v>1430</v>
      </c>
      <c r="L68" s="4" cm="1">
        <f t="array" ref="L68">[1]!crv_interpolation($B$55:$B$71,$C$55:$C$71,K68)</f>
        <v>1401.7</v>
      </c>
    </row>
    <row r="69" spans="2:15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si="0"/>
        <v>3110</v>
      </c>
      <c r="I69" s="4" cm="1">
        <f t="array" ref="I69">[1]!crv_interpolation($B$55:$B$71,$C$55:$C$71,H69)</f>
        <v>2664.9</v>
      </c>
      <c r="K69" s="4">
        <f t="shared" si="1"/>
        <v>1540</v>
      </c>
      <c r="L69" s="4" cm="1">
        <f t="array" ref="L69">[1]!crv_interpolation($B$55:$B$71,$C$55:$C$71,K69)</f>
        <v>1498.8</v>
      </c>
    </row>
    <row r="70" spans="2:15" x14ac:dyDescent="0.25">
      <c r="B70" s="4">
        <v>2400</v>
      </c>
      <c r="C70" s="4">
        <v>2175</v>
      </c>
      <c r="E70" s="4"/>
      <c r="F70" s="4"/>
      <c r="H70" s="4">
        <f t="shared" si="0"/>
        <v>3175</v>
      </c>
      <c r="I70" s="4" cm="1">
        <f t="array" ref="I70">[1]!crv_interpolation($B$55:$B$71,$C$55:$C$71,H70)</f>
        <v>2709.75</v>
      </c>
      <c r="K70" s="4">
        <f t="shared" si="1"/>
        <v>1650</v>
      </c>
      <c r="L70" s="4" cm="1">
        <f t="array" ref="L70">[1]!crv_interpolation($B$55:$B$71,$C$55:$C$71,K70)</f>
        <v>1593.5</v>
      </c>
    </row>
    <row r="71" spans="2:15" x14ac:dyDescent="0.25">
      <c r="B71" s="4">
        <v>2500</v>
      </c>
      <c r="C71" s="4">
        <v>2244</v>
      </c>
      <c r="H71" s="4">
        <f t="shared" si="0"/>
        <v>3240</v>
      </c>
      <c r="I71" s="4" cm="1">
        <f t="array" ref="I71">[1]!crv_interpolation($B$55:$B$71,$C$55:$C$71,H71)</f>
        <v>2754.6</v>
      </c>
      <c r="K71" s="4">
        <f t="shared" si="1"/>
        <v>1760</v>
      </c>
      <c r="L71" s="4" cm="1">
        <f t="array" ref="L71">[1]!crv_interpolation($B$55:$B$71,$C$55:$C$71,K71)</f>
        <v>1685.8</v>
      </c>
    </row>
    <row r="72" spans="2:15" x14ac:dyDescent="0.25">
      <c r="H72" s="4">
        <f t="shared" si="0"/>
        <v>3305</v>
      </c>
      <c r="I72" s="4" cm="1">
        <f t="array" ref="I72">[1]!crv_interpolation($B$55:$B$71,$C$55:$C$71,H72)</f>
        <v>2799.45</v>
      </c>
      <c r="K72" s="4">
        <f t="shared" si="1"/>
        <v>1870</v>
      </c>
      <c r="L72" s="4" cm="1">
        <f t="array" ref="L72">[1]!crv_interpolation($B$55:$B$71,$C$55:$C$71,K72)</f>
        <v>1775.7</v>
      </c>
    </row>
    <row r="73" spans="2:15" x14ac:dyDescent="0.25">
      <c r="H73" s="4">
        <f t="shared" si="0"/>
        <v>3370</v>
      </c>
      <c r="I73" s="4" cm="1">
        <f t="array" ref="I73">[1]!crv_interpolation($B$55:$B$71,$C$55:$C$71,H73)</f>
        <v>2844.2999999999997</v>
      </c>
      <c r="K73" s="4">
        <f t="shared" si="1"/>
        <v>1980</v>
      </c>
      <c r="L73" s="4" cm="1">
        <f t="array" ref="L73">[1]!crv_interpolation($B$55:$B$71,$C$55:$C$71,K73)</f>
        <v>1863.2</v>
      </c>
    </row>
    <row r="74" spans="2:15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si="0"/>
        <v>3435</v>
      </c>
      <c r="I74" s="4" cm="1">
        <f t="array" ref="I74">[1]!crv_interpolation($B$55:$B$71,$C$55:$C$71,H74)</f>
        <v>2889.15</v>
      </c>
      <c r="K74" s="4">
        <f t="shared" si="1"/>
        <v>2090</v>
      </c>
      <c r="L74" s="4" cm="1">
        <f t="array" ref="L74">[1]!crv_interpolation($B$55:$B$71,$C$55:$C$71,K74)</f>
        <v>1948.3</v>
      </c>
    </row>
    <row r="75" spans="2:15" x14ac:dyDescent="0.25">
      <c r="B75" s="14" t="s">
        <v>111</v>
      </c>
      <c r="C75" s="14"/>
      <c r="H75" s="4">
        <f t="shared" si="0"/>
        <v>3500</v>
      </c>
      <c r="I75" s="4" cm="1">
        <f t="array" ref="I75">[1]!crv_interpolation($B$55:$B$71,$C$55:$C$71,H75)</f>
        <v>2934</v>
      </c>
      <c r="K75" s="4">
        <f t="shared" si="1"/>
        <v>2200</v>
      </c>
      <c r="L75" s="4" cm="1">
        <f t="array" ref="L75">[1]!crv_interpolation($B$55:$B$71,$C$55:$C$71,K75)</f>
        <v>2031</v>
      </c>
    </row>
    <row r="76" spans="2:15" x14ac:dyDescent="0.25">
      <c r="B76" s="14" t="s">
        <v>110</v>
      </c>
      <c r="C76" s="14" t="s">
        <v>112</v>
      </c>
    </row>
    <row r="77" spans="2:15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15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[1]!encode_pipe(L77,t_model,0,1,,,K55,K75,0)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15" x14ac:dyDescent="0.25">
      <c r="B79" s="15">
        <v>2000</v>
      </c>
      <c r="C79" s="15">
        <v>80</v>
      </c>
    </row>
    <row r="80" spans="2:15" x14ac:dyDescent="0.25">
      <c r="B80" s="15">
        <v>2500</v>
      </c>
      <c r="C80" s="15">
        <v>95</v>
      </c>
    </row>
    <row r="81" spans="2:26" x14ac:dyDescent="0.25">
      <c r="I81" s="4"/>
    </row>
    <row r="87" spans="2:26" x14ac:dyDescent="0.25">
      <c r="B87" t="s">
        <v>98</v>
      </c>
      <c r="N87" t="s">
        <v>124</v>
      </c>
    </row>
    <row r="89" spans="2:26" x14ac:dyDescent="0.25">
      <c r="B89" t="s">
        <v>99</v>
      </c>
      <c r="C89" s="18" cm="1">
        <f t="array" ref="C89:G90">[1]!GLV_p_atma(dchoke_cas,Pgas_line,Q_gas_free,gamma_gas_,T_wh,0,,calibr_gas)</f>
        <v>0</v>
      </c>
      <c r="D89" s="18">
        <v>0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6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6" x14ac:dyDescent="0.25">
      <c r="B92" t="s">
        <v>101</v>
      </c>
      <c r="N92" t="s">
        <v>128</v>
      </c>
      <c r="Y92" t="s">
        <v>136</v>
      </c>
    </row>
    <row r="93" spans="2:26" x14ac:dyDescent="0.25">
      <c r="C93" s="14" t="s">
        <v>114</v>
      </c>
      <c r="D93" s="15">
        <f>pcas_calc</f>
        <v>0</v>
      </c>
      <c r="N93" s="14" t="s">
        <v>114</v>
      </c>
      <c r="O93" s="15">
        <f>$O$89</f>
        <v>174.64588094253367</v>
      </c>
      <c r="Y93" s="14" t="s">
        <v>114</v>
      </c>
      <c r="Z93" s="22">
        <f>P_GLV_out</f>
        <v>100.63205860462516</v>
      </c>
    </row>
    <row r="94" spans="2:26" x14ac:dyDescent="0.25">
      <c r="C94" s="14" t="s">
        <v>115</v>
      </c>
      <c r="D94" s="15">
        <f>T_wh</f>
        <v>50</v>
      </c>
      <c r="N94" s="14" t="s">
        <v>115</v>
      </c>
      <c r="O94" s="15">
        <f>Tres_</f>
        <v>100</v>
      </c>
      <c r="Y94" s="14" t="s">
        <v>115</v>
      </c>
      <c r="Z94" s="15">
        <f>t_GLV</f>
        <v>80.930000000000007</v>
      </c>
    </row>
    <row r="95" spans="2:26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95" s="14" t="s">
        <v>116</v>
      </c>
      <c r="O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Y95" s="14" t="s">
        <v>116</v>
      </c>
      <c r="Z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96" spans="2:26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N96" s="14" t="s">
        <v>106</v>
      </c>
      <c r="O96" s="19" t="str">
        <f>$C$23</f>
        <v>{"gamma_gas":0.8,"gamma_oil":0.86,"gamma_wat":1.1,"rsb_m3m3":120,"pb_atma":120,"t_res_C":100,"bob_m3m3":1.2,"muob_cP":1,"PVT_corr_set":0,"q_liq_sm3day":22.677,"fw_perc":10}</v>
      </c>
      <c r="Y96" s="14" t="s">
        <v>106</v>
      </c>
      <c r="Z96" s="19" t="e">
        <f>C24</f>
        <v>#VALUE!</v>
      </c>
    </row>
    <row r="97" spans="3:32" x14ac:dyDescent="0.25">
      <c r="C97" s="14" t="s">
        <v>117</v>
      </c>
      <c r="D97" s="15">
        <v>1</v>
      </c>
      <c r="N97" s="14" t="s">
        <v>117</v>
      </c>
      <c r="O97" s="15">
        <v>1</v>
      </c>
      <c r="Y97" s="14" t="s">
        <v>117</v>
      </c>
      <c r="Z97" s="15">
        <v>0</v>
      </c>
    </row>
    <row r="98" spans="3:32" x14ac:dyDescent="0.25">
      <c r="C98" s="14" t="s">
        <v>118</v>
      </c>
      <c r="D98" s="15" t="s">
        <v>119</v>
      </c>
      <c r="N98" s="14" t="s">
        <v>118</v>
      </c>
      <c r="O98" s="15" t="s">
        <v>119</v>
      </c>
      <c r="Y98" s="14" t="s">
        <v>118</v>
      </c>
      <c r="Z98" s="15" t="s">
        <v>119</v>
      </c>
    </row>
    <row r="99" spans="3:32" x14ac:dyDescent="0.25">
      <c r="C99" s="14" t="s">
        <v>102</v>
      </c>
      <c r="D99" s="15">
        <v>0</v>
      </c>
      <c r="N99" s="14" t="s">
        <v>102</v>
      </c>
      <c r="O99" s="15">
        <f>Qliq</f>
        <v>22.677059528733164</v>
      </c>
      <c r="Y99" s="14" t="s">
        <v>102</v>
      </c>
      <c r="Z99" s="15">
        <f>Qliq</f>
        <v>22.677059528733164</v>
      </c>
    </row>
    <row r="100" spans="3:32" x14ac:dyDescent="0.25">
      <c r="C100" s="14" t="s">
        <v>103</v>
      </c>
      <c r="D100" s="15">
        <v>0</v>
      </c>
      <c r="N100" s="14" t="s">
        <v>103</v>
      </c>
      <c r="O100" s="15">
        <f>f_sep</f>
        <v>10</v>
      </c>
      <c r="Y100" s="14" t="s">
        <v>103</v>
      </c>
      <c r="Z100" s="15">
        <f>f_sep</f>
        <v>10</v>
      </c>
    </row>
    <row r="101" spans="3:32" x14ac:dyDescent="0.25">
      <c r="C101" s="14" t="s">
        <v>104</v>
      </c>
      <c r="D101" s="15">
        <v>0</v>
      </c>
      <c r="N101" s="14" t="s">
        <v>104</v>
      </c>
      <c r="O101" s="15"/>
      <c r="Y101" s="14" t="s">
        <v>104</v>
      </c>
      <c r="Z101" s="15"/>
    </row>
    <row r="102" spans="3:32" x14ac:dyDescent="0.25">
      <c r="C102" s="14" t="s">
        <v>105</v>
      </c>
      <c r="D102" s="15">
        <f>Q_gas_free</f>
        <v>5500</v>
      </c>
      <c r="N102" s="14" t="s">
        <v>105</v>
      </c>
      <c r="O102" s="15"/>
      <c r="Y102" s="14" t="s">
        <v>105</v>
      </c>
      <c r="Z102" s="15">
        <f>Q_gas_free</f>
        <v>5500</v>
      </c>
    </row>
    <row r="103" spans="3:32" x14ac:dyDescent="0.25">
      <c r="C103" s="20">
        <f t="array" ref="C103:J125">[1]!MF_pipe_p_atma(D93, D94,L78, D96, 11, D98, D99, D100, D101, D102)</f>
        <v>0</v>
      </c>
      <c r="D103" s="20">
        <v>0</v>
      </c>
      <c r="E103" s="20">
        <v>10</v>
      </c>
      <c r="F103" s="20">
        <v>0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N103" s="20">
        <f t="array" ref="N103:U125">[1]!MF_pipe_p_atma(O93, O94, O95, O96, 0, O98, O99, O100, O101, O102)</f>
        <v>100.63200000000001</v>
      </c>
      <c r="O103" s="20">
        <v>100.63200000000001</v>
      </c>
      <c r="P103" s="20">
        <v>80.930000000000007</v>
      </c>
      <c r="Q103" s="20">
        <v>174.64599999999999</v>
      </c>
      <c r="R103" s="20">
        <v>108.02</v>
      </c>
      <c r="S103" s="20">
        <v>1</v>
      </c>
      <c r="T103" s="20">
        <v>1</v>
      </c>
      <c r="U103" s="20" t="str">
        <v>["set show_log=1 in param to show calc log"]</v>
      </c>
      <c r="Y103" s="20" t="e">
        <f t="array" ref="Y103:AF125">[1]!MF_pipe_p_atma(Z93, Z94, Z95, Z96, Z97, Z98, Z99, Z100, Z101, Z102)</f>
        <v>#VALUE!</v>
      </c>
      <c r="Z103" s="20" t="e">
        <v>#VALUE!</v>
      </c>
      <c r="AA103" s="20" t="e">
        <v>#VALUE!</v>
      </c>
      <c r="AB103" s="20" t="e">
        <v>#VALUE!</v>
      </c>
      <c r="AC103" s="20" t="e">
        <v>#VALUE!</v>
      </c>
      <c r="AD103" s="20" t="e">
        <v>#VALUE!</v>
      </c>
      <c r="AE103" s="20" t="e">
        <v>#VALUE!</v>
      </c>
      <c r="AF103" s="20" t="e">
        <v>#VALUE!</v>
      </c>
    </row>
    <row r="104" spans="3:32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N104" s="20" t="str">
        <v>p_result_atma</v>
      </c>
      <c r="O104" s="20" t="str">
        <v>p_1, atma</v>
      </c>
      <c r="P104" s="20" t="str">
        <v>t_1, C</v>
      </c>
      <c r="Q104" s="20" t="str">
        <v>p_2, atma</v>
      </c>
      <c r="R104" s="20" t="str">
        <v>t_2, C</v>
      </c>
      <c r="S104" s="20" t="str">
        <v>calibr_grav</v>
      </c>
      <c r="T104" s="20" t="str">
        <v>calibr_fric</v>
      </c>
      <c r="U104" s="20" t="str">
        <v>log</v>
      </c>
      <c r="Y104" s="20" t="e">
        <v>#VALUE!</v>
      </c>
      <c r="Z104" s="20" t="e">
        <v>#VALUE!</v>
      </c>
      <c r="AA104" s="20" t="e">
        <v>#VALUE!</v>
      </c>
      <c r="AB104" s="20" t="e">
        <v>#VALUE!</v>
      </c>
      <c r="AC104" s="20" t="e">
        <v>#VALUE!</v>
      </c>
      <c r="AD104" s="20" t="e">
        <v>#VALUE!</v>
      </c>
      <c r="AE104" s="20" t="e">
        <v>#VALUE!</v>
      </c>
      <c r="AF104" s="20" t="e">
        <v>#VALUE!</v>
      </c>
    </row>
    <row r="105" spans="3:32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N105" s="20" t="str">
        <v>h,m</v>
      </c>
      <c r="O105" s="20" t="str">
        <v>hvert,m</v>
      </c>
      <c r="P105" s="20" t="str">
        <v>p,atma</v>
      </c>
      <c r="Q105" s="20" t="str">
        <v>t,C</v>
      </c>
      <c r="R105" s="20" t="str">
        <v>t_amb, C</v>
      </c>
      <c r="S105" s="20" t="str">
        <v>Hl, %</v>
      </c>
      <c r="T105" s="20" t="str">
        <v>fpat</v>
      </c>
      <c r="U105" s="20" t="str">
        <v>diam, mm</v>
      </c>
      <c r="Y105" s="20" t="e">
        <v>#VALUE!</v>
      </c>
      <c r="Z105" s="20" t="e">
        <v>#VALUE!</v>
      </c>
      <c r="AA105" s="20" t="e">
        <v>#VALUE!</v>
      </c>
      <c r="AB105" s="20" t="e">
        <v>#VALUE!</v>
      </c>
      <c r="AC105" s="20" t="e">
        <v>#VALUE!</v>
      </c>
      <c r="AD105" s="20" t="e">
        <v>#VALUE!</v>
      </c>
      <c r="AE105" s="20" t="e">
        <v>#VALUE!</v>
      </c>
      <c r="AF105" s="20" t="e">
        <v>#VALUE!</v>
      </c>
    </row>
    <row r="106" spans="3:32" x14ac:dyDescent="0.25">
      <c r="C106" s="20">
        <v>0</v>
      </c>
      <c r="D106" s="20">
        <v>0</v>
      </c>
      <c r="E106" s="20">
        <v>0</v>
      </c>
      <c r="F106" s="20">
        <v>10</v>
      </c>
      <c r="G106" s="20">
        <v>10</v>
      </c>
      <c r="H106" s="20">
        <v>0</v>
      </c>
      <c r="I106" s="20">
        <v>0</v>
      </c>
      <c r="J106" s="20">
        <v>116.619</v>
      </c>
      <c r="N106" s="20">
        <v>2200</v>
      </c>
      <c r="O106" s="20">
        <v>2031</v>
      </c>
      <c r="P106" s="20">
        <v>100.63205860462516</v>
      </c>
      <c r="Q106" s="20">
        <v>80.930000000000007</v>
      </c>
      <c r="R106" s="20">
        <v>80.930000000000007</v>
      </c>
      <c r="S106" s="20">
        <v>100</v>
      </c>
      <c r="T106" s="20">
        <v>0</v>
      </c>
      <c r="U106" s="20">
        <v>125</v>
      </c>
      <c r="Y106" s="20" t="e">
        <v>#VALUE!</v>
      </c>
      <c r="Z106" s="20" t="e">
        <v>#VALUE!</v>
      </c>
      <c r="AA106" s="23" t="e">
        <v>#VALUE!</v>
      </c>
      <c r="AB106" s="20" t="e">
        <v>#VALUE!</v>
      </c>
      <c r="AC106" s="20" t="e">
        <v>#VALUE!</v>
      </c>
      <c r="AD106" s="20" t="e">
        <v>#VALUE!</v>
      </c>
      <c r="AE106" s="20" t="e">
        <v>#VALUE!</v>
      </c>
      <c r="AF106" s="20" t="e">
        <v>#VALUE!</v>
      </c>
    </row>
    <row r="107" spans="3:32" x14ac:dyDescent="0.25">
      <c r="C107" s="20">
        <v>122.22222222222223</v>
      </c>
      <c r="D107" s="20">
        <v>122.22222222222223</v>
      </c>
      <c r="E107" s="20">
        <v>0</v>
      </c>
      <c r="F107" s="20">
        <v>13.055555555555555</v>
      </c>
      <c r="G107" s="20">
        <v>13.055555555555555</v>
      </c>
      <c r="H107" s="20">
        <v>0</v>
      </c>
      <c r="I107" s="20">
        <v>0</v>
      </c>
      <c r="J107" s="20">
        <v>116.619</v>
      </c>
      <c r="N107" s="20">
        <v>2268.4210526315787</v>
      </c>
      <c r="O107" s="20">
        <v>2080.7263157894736</v>
      </c>
      <c r="P107" s="20">
        <v>104.72089655597198</v>
      </c>
      <c r="Q107" s="20">
        <v>82.421789473684214</v>
      </c>
      <c r="R107" s="20">
        <v>82.421789473684214</v>
      </c>
      <c r="S107" s="20">
        <v>100</v>
      </c>
      <c r="T107" s="20">
        <v>0</v>
      </c>
      <c r="U107" s="20">
        <v>125</v>
      </c>
      <c r="Y107" s="20" t="e">
        <v>#VALUE!</v>
      </c>
      <c r="Z107" s="20" t="e">
        <v>#VALUE!</v>
      </c>
      <c r="AA107" s="23" t="e">
        <v>#VALUE!</v>
      </c>
      <c r="AB107" s="20" t="e">
        <v>#VALUE!</v>
      </c>
      <c r="AC107" s="20" t="e">
        <v>#VALUE!</v>
      </c>
      <c r="AD107" s="20" t="e">
        <v>#VALUE!</v>
      </c>
      <c r="AE107" s="20" t="e">
        <v>#VALUE!</v>
      </c>
      <c r="AF107" s="20" t="e">
        <v>#VALUE!</v>
      </c>
    </row>
    <row r="108" spans="3:32" x14ac:dyDescent="0.25">
      <c r="C108" s="20">
        <v>244.44444444444446</v>
      </c>
      <c r="D108" s="20">
        <v>244.44444444444446</v>
      </c>
      <c r="E108" s="20">
        <v>0</v>
      </c>
      <c r="F108" s="20">
        <v>16.111111111111111</v>
      </c>
      <c r="G108" s="20">
        <v>16.111111111111111</v>
      </c>
      <c r="H108" s="20">
        <v>0</v>
      </c>
      <c r="I108" s="20">
        <v>0</v>
      </c>
      <c r="J108" s="20">
        <v>116.619</v>
      </c>
      <c r="N108" s="20">
        <v>2336.8421052631579</v>
      </c>
      <c r="O108" s="20">
        <v>2129.9198380566804</v>
      </c>
      <c r="P108" s="20">
        <v>108.75567766557917</v>
      </c>
      <c r="Q108" s="20">
        <v>83.897595141700407</v>
      </c>
      <c r="R108" s="20">
        <v>83.897595141700407</v>
      </c>
      <c r="S108" s="20">
        <v>100</v>
      </c>
      <c r="T108" s="20">
        <v>0</v>
      </c>
      <c r="U108" s="20">
        <v>125</v>
      </c>
      <c r="Y108" s="20" t="e">
        <v>#VALUE!</v>
      </c>
      <c r="Z108" s="20" t="e">
        <v>#VALUE!</v>
      </c>
      <c r="AA108" s="23" t="e">
        <v>#VALUE!</v>
      </c>
      <c r="AB108" s="20" t="e">
        <v>#VALUE!</v>
      </c>
      <c r="AC108" s="20" t="e">
        <v>#VALUE!</v>
      </c>
      <c r="AD108" s="20" t="e">
        <v>#VALUE!</v>
      </c>
      <c r="AE108" s="20" t="e">
        <v>#VALUE!</v>
      </c>
      <c r="AF108" s="20" t="e">
        <v>#VALUE!</v>
      </c>
    </row>
    <row r="109" spans="3:32" x14ac:dyDescent="0.25">
      <c r="C109" s="20">
        <v>366.66666666666669</v>
      </c>
      <c r="D109" s="20">
        <v>366.66666666666669</v>
      </c>
      <c r="E109" s="20">
        <v>0</v>
      </c>
      <c r="F109" s="20">
        <v>19.166666666666668</v>
      </c>
      <c r="G109" s="20">
        <v>19.166666666666668</v>
      </c>
      <c r="H109" s="20">
        <v>0</v>
      </c>
      <c r="I109" s="20">
        <v>0</v>
      </c>
      <c r="J109" s="20">
        <v>116.619</v>
      </c>
      <c r="N109" s="20">
        <v>2405.2631578947367</v>
      </c>
      <c r="O109" s="20">
        <v>2178.5441295546557</v>
      </c>
      <c r="P109" s="20">
        <v>112.68977552056995</v>
      </c>
      <c r="Q109" s="20">
        <v>85.356323886639672</v>
      </c>
      <c r="R109" s="20">
        <v>85.356323886639672</v>
      </c>
      <c r="S109" s="20">
        <v>100</v>
      </c>
      <c r="T109" s="20">
        <v>0</v>
      </c>
      <c r="U109" s="20">
        <v>125</v>
      </c>
      <c r="Y109" s="20" t="e">
        <v>#VALUE!</v>
      </c>
      <c r="Z109" s="20" t="e">
        <v>#VALUE!</v>
      </c>
      <c r="AA109" s="23" t="e">
        <v>#VALUE!</v>
      </c>
      <c r="AB109" s="20" t="e">
        <v>#VALUE!</v>
      </c>
      <c r="AC109" s="20" t="e">
        <v>#VALUE!</v>
      </c>
      <c r="AD109" s="20" t="e">
        <v>#VALUE!</v>
      </c>
      <c r="AE109" s="20" t="e">
        <v>#VALUE!</v>
      </c>
      <c r="AF109" s="20" t="e">
        <v>#VALUE!</v>
      </c>
    </row>
    <row r="110" spans="3:32" x14ac:dyDescent="0.25">
      <c r="C110" s="20">
        <v>488.88888888888891</v>
      </c>
      <c r="D110" s="20">
        <v>488.88888888888891</v>
      </c>
      <c r="E110" s="20">
        <v>0</v>
      </c>
      <c r="F110" s="20">
        <v>22.222222222222221</v>
      </c>
      <c r="G110" s="20">
        <v>22.222222222222221</v>
      </c>
      <c r="H110" s="20">
        <v>0</v>
      </c>
      <c r="I110" s="20">
        <v>0</v>
      </c>
      <c r="J110" s="20">
        <v>116.619</v>
      </c>
      <c r="N110" s="20">
        <v>2473.6842105263158</v>
      </c>
      <c r="O110" s="20">
        <v>2225.8178137651821</v>
      </c>
      <c r="P110" s="20">
        <v>116.56174727410604</v>
      </c>
      <c r="Q110" s="20">
        <v>86.774534412955461</v>
      </c>
      <c r="R110" s="20">
        <v>86.774534412955461</v>
      </c>
      <c r="S110" s="20">
        <v>100</v>
      </c>
      <c r="T110" s="20">
        <v>0</v>
      </c>
      <c r="U110" s="20">
        <v>125</v>
      </c>
      <c r="Y110" s="20" t="e">
        <v>#VALUE!</v>
      </c>
      <c r="Z110" s="20" t="e">
        <v>#VALUE!</v>
      </c>
      <c r="AA110" s="23" t="e">
        <v>#VALUE!</v>
      </c>
      <c r="AB110" s="20" t="e">
        <v>#VALUE!</v>
      </c>
      <c r="AC110" s="20" t="e">
        <v>#VALUE!</v>
      </c>
      <c r="AD110" s="20" t="e">
        <v>#VALUE!</v>
      </c>
      <c r="AE110" s="20" t="e">
        <v>#VALUE!</v>
      </c>
      <c r="AF110" s="20" t="e">
        <v>#VALUE!</v>
      </c>
    </row>
    <row r="111" spans="3:32" x14ac:dyDescent="0.25">
      <c r="C111" s="20">
        <v>611.11111111111109</v>
      </c>
      <c r="D111" s="20">
        <v>611.11111111111109</v>
      </c>
      <c r="E111" s="20">
        <v>0</v>
      </c>
      <c r="F111" s="20">
        <v>25.277777777777779</v>
      </c>
      <c r="G111" s="20">
        <v>25.277777777777779</v>
      </c>
      <c r="H111" s="20">
        <v>0</v>
      </c>
      <c r="I111" s="20">
        <v>0</v>
      </c>
      <c r="J111" s="20">
        <v>116.619</v>
      </c>
      <c r="N111" s="20">
        <v>2542.1052631578946</v>
      </c>
      <c r="O111" s="20">
        <v>2273.0526315789471</v>
      </c>
      <c r="P111" s="20">
        <v>120.43032206413032</v>
      </c>
      <c r="Q111" s="20">
        <v>88.191578947368413</v>
      </c>
      <c r="R111" s="20">
        <v>88.191578947368413</v>
      </c>
      <c r="S111" s="20">
        <v>100</v>
      </c>
      <c r="T111" s="20">
        <v>0</v>
      </c>
      <c r="U111" s="20">
        <v>125</v>
      </c>
      <c r="Y111" s="20" t="e">
        <v>#VALUE!</v>
      </c>
      <c r="Z111" s="20" t="e">
        <v>#VALUE!</v>
      </c>
      <c r="AA111" s="23" t="e">
        <v>#VALUE!</v>
      </c>
      <c r="AB111" s="20" t="e">
        <v>#VALUE!</v>
      </c>
      <c r="AC111" s="20" t="e">
        <v>#VALUE!</v>
      </c>
      <c r="AD111" s="20" t="e">
        <v>#VALUE!</v>
      </c>
      <c r="AE111" s="20" t="e">
        <v>#VALUE!</v>
      </c>
      <c r="AF111" s="20" t="e">
        <v>#VALUE!</v>
      </c>
    </row>
    <row r="112" spans="3:32" x14ac:dyDescent="0.25">
      <c r="C112" s="20">
        <v>733.33333333333337</v>
      </c>
      <c r="D112" s="20">
        <v>733.33333333333337</v>
      </c>
      <c r="E112" s="20">
        <v>0</v>
      </c>
      <c r="F112" s="20">
        <v>28.333333333333336</v>
      </c>
      <c r="G112" s="20">
        <v>28.333333333333336</v>
      </c>
      <c r="H112" s="20">
        <v>0</v>
      </c>
      <c r="I112" s="20">
        <v>0</v>
      </c>
      <c r="J112" s="20">
        <v>116.619</v>
      </c>
      <c r="N112" s="20">
        <v>2610.5263157894738</v>
      </c>
      <c r="O112" s="20">
        <v>2320.2631578947371</v>
      </c>
      <c r="P112" s="20">
        <v>124.29936233045423</v>
      </c>
      <c r="Q112" s="20">
        <v>89.607894736842113</v>
      </c>
      <c r="R112" s="20">
        <v>89.607894736842113</v>
      </c>
      <c r="S112" s="20">
        <v>100</v>
      </c>
      <c r="T112" s="20">
        <v>0</v>
      </c>
      <c r="U112" s="20">
        <v>125</v>
      </c>
      <c r="Y112" s="20" t="e">
        <v>#VALUE!</v>
      </c>
      <c r="Z112" s="20" t="e">
        <v>#VALUE!</v>
      </c>
      <c r="AA112" s="23" t="e">
        <v>#VALUE!</v>
      </c>
      <c r="AB112" s="20" t="e">
        <v>#VALUE!</v>
      </c>
      <c r="AC112" s="20" t="e">
        <v>#VALUE!</v>
      </c>
      <c r="AD112" s="20" t="e">
        <v>#VALUE!</v>
      </c>
      <c r="AE112" s="20" t="e">
        <v>#VALUE!</v>
      </c>
      <c r="AF112" s="20" t="e">
        <v>#VALUE!</v>
      </c>
    </row>
    <row r="113" spans="2:32" x14ac:dyDescent="0.25">
      <c r="C113" s="20">
        <v>855.55555555555566</v>
      </c>
      <c r="D113" s="20">
        <v>855.55555555555566</v>
      </c>
      <c r="E113" s="20">
        <v>0</v>
      </c>
      <c r="F113" s="20">
        <v>31.388888888888893</v>
      </c>
      <c r="G113" s="20">
        <v>31.388888888888893</v>
      </c>
      <c r="H113" s="20">
        <v>0</v>
      </c>
      <c r="I113" s="20">
        <v>0</v>
      </c>
      <c r="J113" s="20">
        <v>116.619</v>
      </c>
      <c r="N113" s="20">
        <v>2678.9473684210525</v>
      </c>
      <c r="O113" s="20">
        <v>2367.4736842105262</v>
      </c>
      <c r="P113" s="20">
        <v>128.16948078848552</v>
      </c>
      <c r="Q113" s="20">
        <v>91.024210526315784</v>
      </c>
      <c r="R113" s="20">
        <v>91.024210526315784</v>
      </c>
      <c r="S113" s="20">
        <v>100</v>
      </c>
      <c r="T113" s="20">
        <v>0</v>
      </c>
      <c r="U113" s="20">
        <v>125</v>
      </c>
      <c r="Y113" s="20" t="e">
        <v>#VALUE!</v>
      </c>
      <c r="Z113" s="20" t="e">
        <v>#VALUE!</v>
      </c>
      <c r="AA113" s="23" t="e">
        <v>#VALUE!</v>
      </c>
      <c r="AB113" s="20" t="e">
        <v>#VALUE!</v>
      </c>
      <c r="AC113" s="20" t="e">
        <v>#VALUE!</v>
      </c>
      <c r="AD113" s="20" t="e">
        <v>#VALUE!</v>
      </c>
      <c r="AE113" s="20" t="e">
        <v>#VALUE!</v>
      </c>
      <c r="AF113" s="20" t="e">
        <v>#VALUE!</v>
      </c>
    </row>
    <row r="114" spans="2:32" x14ac:dyDescent="0.25">
      <c r="C114" s="20">
        <v>977.77777777777783</v>
      </c>
      <c r="D114" s="20">
        <v>977.49494949494954</v>
      </c>
      <c r="E114" s="20">
        <v>0</v>
      </c>
      <c r="F114" s="20">
        <v>34.43737373737374</v>
      </c>
      <c r="G114" s="20">
        <v>34.43737373737374</v>
      </c>
      <c r="H114" s="20">
        <v>0</v>
      </c>
      <c r="I114" s="20">
        <v>0</v>
      </c>
      <c r="J114" s="20">
        <v>116.619</v>
      </c>
      <c r="N114" s="20">
        <v>2747.3684210526317</v>
      </c>
      <c r="O114" s="20">
        <v>2414.6842105263158</v>
      </c>
      <c r="P114" s="20">
        <v>132.04044163068764</v>
      </c>
      <c r="Q114" s="20">
        <v>92.440526315789484</v>
      </c>
      <c r="R114" s="20">
        <v>92.440526315789484</v>
      </c>
      <c r="S114" s="20">
        <v>100</v>
      </c>
      <c r="T114" s="20">
        <v>0</v>
      </c>
      <c r="U114" s="20">
        <v>125</v>
      </c>
      <c r="Y114" s="20" t="e">
        <v>#VALUE!</v>
      </c>
      <c r="Z114" s="20" t="e">
        <v>#VALUE!</v>
      </c>
      <c r="AA114" s="23" t="e">
        <v>#VALUE!</v>
      </c>
      <c r="AB114" s="20" t="e">
        <v>#VALUE!</v>
      </c>
      <c r="AC114" s="20" t="e">
        <v>#VALUE!</v>
      </c>
      <c r="AD114" s="20" t="e">
        <v>#VALUE!</v>
      </c>
      <c r="AE114" s="20" t="e">
        <v>#VALUE!</v>
      </c>
      <c r="AF114" s="20" t="e">
        <v>#VALUE!</v>
      </c>
    </row>
    <row r="115" spans="2:32" x14ac:dyDescent="0.25">
      <c r="C115" s="20">
        <v>1100</v>
      </c>
      <c r="D115" s="20">
        <v>1096</v>
      </c>
      <c r="E115" s="20">
        <v>0</v>
      </c>
      <c r="F115" s="20">
        <v>39.32</v>
      </c>
      <c r="G115" s="20">
        <v>39.32</v>
      </c>
      <c r="H115" s="20">
        <v>0</v>
      </c>
      <c r="I115" s="20">
        <v>0</v>
      </c>
      <c r="J115" s="20">
        <v>116.619</v>
      </c>
      <c r="N115" s="20">
        <v>2815.7894736842104</v>
      </c>
      <c r="O115" s="20">
        <v>2461.894736842105</v>
      </c>
      <c r="P115" s="20">
        <v>135.91223103368469</v>
      </c>
      <c r="Q115" s="20">
        <v>93.856842105263155</v>
      </c>
      <c r="R115" s="20">
        <v>93.856842105263155</v>
      </c>
      <c r="S115" s="20">
        <v>100</v>
      </c>
      <c r="T115" s="20">
        <v>0</v>
      </c>
      <c r="U115" s="20">
        <v>125</v>
      </c>
      <c r="Y115" s="20" t="e">
        <v>#VALUE!</v>
      </c>
      <c r="Z115" s="20" t="e">
        <v>#VALUE!</v>
      </c>
      <c r="AA115" s="23" t="e">
        <v>#VALUE!</v>
      </c>
      <c r="AB115" s="20" t="e">
        <v>#VALUE!</v>
      </c>
      <c r="AC115" s="20" t="e">
        <v>#VALUE!</v>
      </c>
      <c r="AD115" s="20" t="e">
        <v>#VALUE!</v>
      </c>
      <c r="AE115" s="20" t="e">
        <v>#VALUE!</v>
      </c>
      <c r="AF115" s="20" t="e">
        <v>#VALUE!</v>
      </c>
    </row>
    <row r="116" spans="2:32" x14ac:dyDescent="0.25">
      <c r="C116" s="20">
        <v>1222.2222222222222</v>
      </c>
      <c r="D116" s="20">
        <v>1211.4525252525252</v>
      </c>
      <c r="E116" s="20">
        <v>0</v>
      </c>
      <c r="F116" s="20">
        <v>44.515363636363631</v>
      </c>
      <c r="G116" s="20">
        <v>44.515363636363631</v>
      </c>
      <c r="H116" s="20">
        <v>0</v>
      </c>
      <c r="I116" s="20">
        <v>0</v>
      </c>
      <c r="J116" s="20">
        <v>116.619</v>
      </c>
      <c r="N116" s="20">
        <v>2884.2105263157896</v>
      </c>
      <c r="O116" s="20">
        <v>2509.105263157895</v>
      </c>
      <c r="P116" s="20">
        <v>139.78460864820028</v>
      </c>
      <c r="Q116" s="20">
        <v>95.27315789473684</v>
      </c>
      <c r="R116" s="20">
        <v>95.27315789473684</v>
      </c>
      <c r="S116" s="20">
        <v>100</v>
      </c>
      <c r="T116" s="20">
        <v>0</v>
      </c>
      <c r="U116" s="20">
        <v>125</v>
      </c>
      <c r="Y116" s="20" t="e">
        <v>#VALUE!</v>
      </c>
      <c r="Z116" s="20" t="e">
        <v>#VALUE!</v>
      </c>
      <c r="AA116" s="23" t="e">
        <v>#VALUE!</v>
      </c>
      <c r="AB116" s="20" t="e">
        <v>#VALUE!</v>
      </c>
      <c r="AC116" s="20" t="e">
        <v>#VALUE!</v>
      </c>
      <c r="AD116" s="20" t="e">
        <v>#VALUE!</v>
      </c>
      <c r="AE116" s="20" t="e">
        <v>#VALUE!</v>
      </c>
      <c r="AF116" s="20" t="e">
        <v>#VALUE!</v>
      </c>
    </row>
    <row r="117" spans="2:32" x14ac:dyDescent="0.25">
      <c r="C117" s="20">
        <v>1344.4444444444446</v>
      </c>
      <c r="D117" s="20">
        <v>1324.0686868686871</v>
      </c>
      <c r="E117" s="20">
        <v>0</v>
      </c>
      <c r="F117" s="20">
        <v>49.583090909090906</v>
      </c>
      <c r="G117" s="20">
        <v>49.583090909090906</v>
      </c>
      <c r="H117" s="20">
        <v>0</v>
      </c>
      <c r="I117" s="20">
        <v>0</v>
      </c>
      <c r="J117" s="20">
        <v>116.619</v>
      </c>
      <c r="N117" s="20">
        <v>2952.6315789473683</v>
      </c>
      <c r="O117" s="20">
        <v>2556.3157894736842</v>
      </c>
      <c r="P117" s="20">
        <v>143.65746065262886</v>
      </c>
      <c r="Q117" s="20">
        <v>96.689473684210512</v>
      </c>
      <c r="R117" s="20">
        <v>96.689473684210512</v>
      </c>
      <c r="S117" s="20">
        <v>100</v>
      </c>
      <c r="T117" s="20">
        <v>0</v>
      </c>
      <c r="U117" s="20">
        <v>125</v>
      </c>
      <c r="Y117" s="20" t="e">
        <v>#VALUE!</v>
      </c>
      <c r="Z117" s="20" t="e">
        <v>#VALUE!</v>
      </c>
      <c r="AA117" s="23" t="e">
        <v>#VALUE!</v>
      </c>
      <c r="AB117" s="20" t="e">
        <v>#VALUE!</v>
      </c>
      <c r="AC117" s="20" t="e">
        <v>#VALUE!</v>
      </c>
      <c r="AD117" s="20" t="e">
        <v>#VALUE!</v>
      </c>
      <c r="AE117" s="20" t="e">
        <v>#VALUE!</v>
      </c>
      <c r="AF117" s="20" t="e">
        <v>#VALUE!</v>
      </c>
    </row>
    <row r="118" spans="2:32" x14ac:dyDescent="0.25">
      <c r="C118" s="20">
        <v>1466.6666666666667</v>
      </c>
      <c r="D118" s="20">
        <v>1433.848484848485</v>
      </c>
      <c r="E118" s="20">
        <v>0</v>
      </c>
      <c r="F118" s="20">
        <v>54.523181818181818</v>
      </c>
      <c r="G118" s="20">
        <v>54.523181818181818</v>
      </c>
      <c r="H118" s="20">
        <v>0</v>
      </c>
      <c r="I118" s="20">
        <v>0</v>
      </c>
      <c r="J118" s="20">
        <v>116.619</v>
      </c>
      <c r="N118" s="20">
        <v>3021.0526315789475</v>
      </c>
      <c r="O118" s="20">
        <v>2603.5263157894738</v>
      </c>
      <c r="P118" s="20">
        <v>147.53072601877182</v>
      </c>
      <c r="Q118" s="20">
        <v>98.105789473684212</v>
      </c>
      <c r="R118" s="20">
        <v>98.105789473684212</v>
      </c>
      <c r="S118" s="20">
        <v>100</v>
      </c>
      <c r="T118" s="20">
        <v>0</v>
      </c>
      <c r="U118" s="20">
        <v>125</v>
      </c>
      <c r="Y118" s="20" t="e">
        <v>#VALUE!</v>
      </c>
      <c r="Z118" s="20" t="e">
        <v>#VALUE!</v>
      </c>
      <c r="AA118" s="23" t="e">
        <v>#VALUE!</v>
      </c>
      <c r="AB118" s="20" t="e">
        <v>#VALUE!</v>
      </c>
      <c r="AC118" s="20" t="e">
        <v>#VALUE!</v>
      </c>
      <c r="AD118" s="20" t="e">
        <v>#VALUE!</v>
      </c>
      <c r="AE118" s="20" t="e">
        <v>#VALUE!</v>
      </c>
      <c r="AF118" s="20" t="e">
        <v>#VALUE!</v>
      </c>
    </row>
    <row r="119" spans="2:32" x14ac:dyDescent="0.25">
      <c r="C119" s="20">
        <v>1588.8888888888889</v>
      </c>
      <c r="D119" s="20">
        <v>1540.7919191919193</v>
      </c>
      <c r="E119" s="20">
        <v>0</v>
      </c>
      <c r="F119" s="20">
        <v>59.335636363636368</v>
      </c>
      <c r="G119" s="20">
        <v>59.335636363636368</v>
      </c>
      <c r="H119" s="20">
        <v>0</v>
      </c>
      <c r="I119" s="20">
        <v>0</v>
      </c>
      <c r="J119" s="20">
        <v>116.619</v>
      </c>
      <c r="N119" s="20">
        <v>3089.4736842105262</v>
      </c>
      <c r="O119" s="20">
        <v>2650.7368421052629</v>
      </c>
      <c r="P119" s="20">
        <v>151.40423865293798</v>
      </c>
      <c r="Q119" s="20">
        <v>99.522105263157883</v>
      </c>
      <c r="R119" s="20">
        <v>99.522105263157883</v>
      </c>
      <c r="S119" s="20">
        <v>100</v>
      </c>
      <c r="T119" s="20">
        <v>0</v>
      </c>
      <c r="U119" s="20">
        <v>125</v>
      </c>
      <c r="Y119" s="20" t="e">
        <v>#VALUE!</v>
      </c>
      <c r="Z119" s="20" t="e">
        <v>#VALUE!</v>
      </c>
      <c r="AA119" s="23" t="e">
        <v>#VALUE!</v>
      </c>
      <c r="AB119" s="20" t="e">
        <v>#VALUE!</v>
      </c>
      <c r="AC119" s="20" t="e">
        <v>#VALUE!</v>
      </c>
      <c r="AD119" s="20" t="e">
        <v>#VALUE!</v>
      </c>
      <c r="AE119" s="20" t="e">
        <v>#VALUE!</v>
      </c>
      <c r="AF119" s="20" t="e">
        <v>#VALUE!</v>
      </c>
    </row>
    <row r="120" spans="2:32" x14ac:dyDescent="0.25">
      <c r="C120" s="20">
        <v>1711.1111111111113</v>
      </c>
      <c r="D120" s="20">
        <v>1644.6808080808082</v>
      </c>
      <c r="E120" s="20">
        <v>0</v>
      </c>
      <c r="F120" s="20">
        <v>64.010636363636365</v>
      </c>
      <c r="G120" s="20">
        <v>64.010636363636365</v>
      </c>
      <c r="H120" s="20">
        <v>0</v>
      </c>
      <c r="I120" s="20">
        <v>0</v>
      </c>
      <c r="J120" s="20">
        <v>116.619</v>
      </c>
      <c r="N120" s="20">
        <v>3157.8947368421054</v>
      </c>
      <c r="O120" s="20">
        <v>2697.9473684210529</v>
      </c>
      <c r="P120" s="20">
        <v>155.27792363184491</v>
      </c>
      <c r="Q120" s="20">
        <v>100.93842105263158</v>
      </c>
      <c r="R120" s="20">
        <v>100.93842105263158</v>
      </c>
      <c r="S120" s="20">
        <v>100</v>
      </c>
      <c r="T120" s="20">
        <v>0</v>
      </c>
      <c r="U120" s="20">
        <v>125</v>
      </c>
      <c r="Y120" s="20" t="e">
        <v>#VALUE!</v>
      </c>
      <c r="Z120" s="20" t="e">
        <v>#VALUE!</v>
      </c>
      <c r="AA120" s="23" t="e">
        <v>#VALUE!</v>
      </c>
      <c r="AB120" s="20" t="e">
        <v>#VALUE!</v>
      </c>
      <c r="AC120" s="20" t="e">
        <v>#VALUE!</v>
      </c>
      <c r="AD120" s="20" t="e">
        <v>#VALUE!</v>
      </c>
      <c r="AE120" s="20" t="e">
        <v>#VALUE!</v>
      </c>
      <c r="AF120" s="20" t="e">
        <v>#VALUE!</v>
      </c>
    </row>
    <row r="121" spans="2:32" x14ac:dyDescent="0.25">
      <c r="C121" s="20">
        <v>1833.3333333333335</v>
      </c>
      <c r="D121" s="20">
        <v>1745.5151515151517</v>
      </c>
      <c r="E121" s="20">
        <v>0</v>
      </c>
      <c r="F121" s="20">
        <v>68.548181818181831</v>
      </c>
      <c r="G121" s="20">
        <v>68.548181818181831</v>
      </c>
      <c r="H121" s="20">
        <v>0</v>
      </c>
      <c r="I121" s="20">
        <v>0</v>
      </c>
      <c r="J121" s="20">
        <v>116.619</v>
      </c>
      <c r="N121" s="20">
        <v>3226.3157894736842</v>
      </c>
      <c r="O121" s="20">
        <v>2745.1578947368421</v>
      </c>
      <c r="P121" s="20">
        <v>159.1516881832348</v>
      </c>
      <c r="Q121" s="20">
        <v>102.35473684210527</v>
      </c>
      <c r="R121" s="20">
        <v>102.35473684210527</v>
      </c>
      <c r="S121" s="20">
        <v>100</v>
      </c>
      <c r="T121" s="20">
        <v>0</v>
      </c>
      <c r="U121" s="20">
        <v>125</v>
      </c>
      <c r="Y121" s="20" t="e">
        <v>#VALUE!</v>
      </c>
      <c r="Z121" s="20" t="e">
        <v>#VALUE!</v>
      </c>
      <c r="AA121" s="23" t="e">
        <v>#VALUE!</v>
      </c>
      <c r="AB121" s="20" t="e">
        <v>#VALUE!</v>
      </c>
      <c r="AC121" s="20" t="e">
        <v>#VALUE!</v>
      </c>
      <c r="AD121" s="20" t="e">
        <v>#VALUE!</v>
      </c>
      <c r="AE121" s="20" t="e">
        <v>#VALUE!</v>
      </c>
      <c r="AF121" s="20" t="e">
        <v>#VALUE!</v>
      </c>
    </row>
    <row r="122" spans="2:32" x14ac:dyDescent="0.25">
      <c r="C122" s="20">
        <v>1900</v>
      </c>
      <c r="D122" s="20">
        <v>1799.5636363636363</v>
      </c>
      <c r="E122" s="20">
        <v>0</v>
      </c>
      <c r="F122" s="20">
        <v>70.980363636363634</v>
      </c>
      <c r="G122" s="20">
        <v>70.980363636363634</v>
      </c>
      <c r="H122" s="20">
        <v>0</v>
      </c>
      <c r="I122" s="20">
        <v>0</v>
      </c>
      <c r="J122" s="20">
        <v>40</v>
      </c>
      <c r="N122" s="20">
        <v>3294.7368421052633</v>
      </c>
      <c r="O122" s="20">
        <v>2792.3684210526317</v>
      </c>
      <c r="P122" s="20">
        <v>163.02544437851961</v>
      </c>
      <c r="Q122" s="20">
        <v>103.77105263157895</v>
      </c>
      <c r="R122" s="20">
        <v>103.77105263157895</v>
      </c>
      <c r="S122" s="20">
        <v>100</v>
      </c>
      <c r="T122" s="20">
        <v>0</v>
      </c>
      <c r="U122" s="20">
        <v>125</v>
      </c>
      <c r="Y122" s="20" t="e">
        <v>#VALUE!</v>
      </c>
      <c r="Z122" s="20" t="e">
        <v>#VALUE!</v>
      </c>
      <c r="AA122" s="23" t="e">
        <v>#VALUE!</v>
      </c>
      <c r="AB122" s="20" t="e">
        <v>#VALUE!</v>
      </c>
      <c r="AC122" s="20" t="e">
        <v>#VALUE!</v>
      </c>
      <c r="AD122" s="20" t="e">
        <v>#VALUE!</v>
      </c>
      <c r="AE122" s="20" t="e">
        <v>#VALUE!</v>
      </c>
      <c r="AF122" s="20" t="e">
        <v>#VALUE!</v>
      </c>
    </row>
    <row r="123" spans="2:32" x14ac:dyDescent="0.25">
      <c r="C123" s="20">
        <v>1955.5555555555557</v>
      </c>
      <c r="D123" s="20">
        <v>1843.5131313131315</v>
      </c>
      <c r="E123" s="20">
        <v>0</v>
      </c>
      <c r="F123" s="20">
        <v>72.958090909090913</v>
      </c>
      <c r="G123" s="20">
        <v>72.958090909090913</v>
      </c>
      <c r="H123" s="20">
        <v>0</v>
      </c>
      <c r="I123" s="20">
        <v>0</v>
      </c>
      <c r="J123" s="20">
        <v>40</v>
      </c>
      <c r="N123" s="20">
        <v>3363.1578947368421</v>
      </c>
      <c r="O123" s="20">
        <v>2839.5789473684208</v>
      </c>
      <c r="P123" s="20">
        <v>166.89910442421623</v>
      </c>
      <c r="Q123" s="20">
        <v>105.18736842105262</v>
      </c>
      <c r="R123" s="20">
        <v>105.18736842105262</v>
      </c>
      <c r="S123" s="20">
        <v>100</v>
      </c>
      <c r="T123" s="20">
        <v>0</v>
      </c>
      <c r="U123" s="20">
        <v>125</v>
      </c>
      <c r="Y123" s="20" t="e">
        <v>#VALUE!</v>
      </c>
      <c r="Z123" s="20" t="e">
        <v>#VALUE!</v>
      </c>
      <c r="AA123" s="23" t="e">
        <v>#VALUE!</v>
      </c>
      <c r="AB123" s="20" t="e">
        <v>#VALUE!</v>
      </c>
      <c r="AC123" s="20" t="e">
        <v>#VALUE!</v>
      </c>
      <c r="AD123" s="20" t="e">
        <v>#VALUE!</v>
      </c>
      <c r="AE123" s="20" t="e">
        <v>#VALUE!</v>
      </c>
      <c r="AF123" s="20" t="e">
        <v>#VALUE!</v>
      </c>
    </row>
    <row r="124" spans="2:32" x14ac:dyDescent="0.25">
      <c r="C124" s="20">
        <v>2077.7777777777778</v>
      </c>
      <c r="D124" s="20">
        <v>1938.6747474747474</v>
      </c>
      <c r="E124" s="20">
        <v>0</v>
      </c>
      <c r="F124" s="20">
        <v>77.240363636363625</v>
      </c>
      <c r="G124" s="20">
        <v>77.240363636363625</v>
      </c>
      <c r="H124" s="20">
        <v>0</v>
      </c>
      <c r="I124" s="20">
        <v>0</v>
      </c>
      <c r="J124" s="20">
        <v>40</v>
      </c>
      <c r="N124" s="20">
        <v>3431.5789473684208</v>
      </c>
      <c r="O124" s="20">
        <v>2886.7894736842104</v>
      </c>
      <c r="P124" s="20">
        <v>170.77260070877108</v>
      </c>
      <c r="Q124" s="20">
        <v>106.60368421052631</v>
      </c>
      <c r="R124" s="20">
        <v>106.60368421052631</v>
      </c>
      <c r="S124" s="20">
        <v>100</v>
      </c>
      <c r="T124" s="20">
        <v>0</v>
      </c>
      <c r="U124" s="20">
        <v>125</v>
      </c>
      <c r="Y124" s="20" t="e">
        <v>#VALUE!</v>
      </c>
      <c r="Z124" s="20" t="e">
        <v>#VALUE!</v>
      </c>
      <c r="AA124" s="23" t="e">
        <v>#VALUE!</v>
      </c>
      <c r="AB124" s="20" t="e">
        <v>#VALUE!</v>
      </c>
      <c r="AC124" s="20" t="e">
        <v>#VALUE!</v>
      </c>
      <c r="AD124" s="20" t="e">
        <v>#VALUE!</v>
      </c>
      <c r="AE124" s="20" t="e">
        <v>#VALUE!</v>
      </c>
      <c r="AF124" s="20" t="e">
        <v>#VALUE!</v>
      </c>
    </row>
    <row r="125" spans="2:32" x14ac:dyDescent="0.25">
      <c r="C125" s="20">
        <v>2200</v>
      </c>
      <c r="D125" s="20">
        <v>2031</v>
      </c>
      <c r="E125" s="20">
        <v>0</v>
      </c>
      <c r="F125" s="20">
        <v>80.930000000000007</v>
      </c>
      <c r="G125" s="20">
        <v>80.930000000000007</v>
      </c>
      <c r="H125" s="20">
        <v>0</v>
      </c>
      <c r="I125" s="20">
        <v>0</v>
      </c>
      <c r="J125" s="20">
        <v>125</v>
      </c>
      <c r="N125" s="20">
        <v>3500</v>
      </c>
      <c r="O125" s="20">
        <v>2934</v>
      </c>
      <c r="P125" s="20">
        <v>174.64588094253367</v>
      </c>
      <c r="Q125" s="20">
        <v>108.02</v>
      </c>
      <c r="R125" s="20">
        <v>108.02</v>
      </c>
      <c r="S125" s="20">
        <v>100</v>
      </c>
      <c r="T125" s="20">
        <v>0</v>
      </c>
      <c r="U125" s="20">
        <v>125</v>
      </c>
      <c r="Y125" s="20" t="e">
        <v>#VALUE!</v>
      </c>
      <c r="Z125" s="20" t="e">
        <v>#VALUE!</v>
      </c>
      <c r="AA125" s="23" t="e">
        <v>#VALUE!</v>
      </c>
      <c r="AB125" s="20" t="e">
        <v>#VALUE!</v>
      </c>
      <c r="AC125" s="20" t="e">
        <v>#VALUE!</v>
      </c>
      <c r="AD125" s="20" t="e">
        <v>#VALUE!</v>
      </c>
      <c r="AE125" s="20" t="e">
        <v>#VALUE!</v>
      </c>
      <c r="AF125" s="20" t="e">
        <v>#VALUE!</v>
      </c>
    </row>
    <row r="127" spans="2:32" x14ac:dyDescent="0.25">
      <c r="B127" t="s">
        <v>122</v>
      </c>
      <c r="M127" t="s">
        <v>130</v>
      </c>
      <c r="X127" t="s">
        <v>138</v>
      </c>
    </row>
    <row r="128" spans="2:32" x14ac:dyDescent="0.25">
      <c r="B128" t="s">
        <v>123</v>
      </c>
      <c r="C128" s="21">
        <f>E125</f>
        <v>0</v>
      </c>
      <c r="M128" t="s">
        <v>131</v>
      </c>
      <c r="N128" s="21">
        <f>P106</f>
        <v>100.63205860462516</v>
      </c>
      <c r="X128" t="s">
        <v>139</v>
      </c>
      <c r="Y128" s="21" t="e">
        <f>AA106</f>
        <v>#VALUE!</v>
      </c>
    </row>
    <row r="129" spans="2:36" x14ac:dyDescent="0.25">
      <c r="M129" t="s">
        <v>135</v>
      </c>
      <c r="N129" s="21">
        <f>Q106</f>
        <v>80.930000000000007</v>
      </c>
      <c r="X129" t="s">
        <v>135</v>
      </c>
      <c r="Y129" s="21" t="e">
        <f>AB106</f>
        <v>#VALUE!</v>
      </c>
    </row>
    <row r="131" spans="2:36" x14ac:dyDescent="0.25">
      <c r="B131" t="s">
        <v>132</v>
      </c>
    </row>
    <row r="132" spans="2:36" x14ac:dyDescent="0.25">
      <c r="B132" t="s">
        <v>133</v>
      </c>
      <c r="C132" t="str" cm="1">
        <f t="array" ref="C132">[1]!GLV_q_gas_sm3day(d_GLV,PGLV_in,N128,gamma_gas_,t_GLV)</f>
        <v xml:space="preserve">GLV_q_gas_sm3day:error in function </v>
      </c>
      <c r="Y132" t="s">
        <v>140</v>
      </c>
    </row>
    <row r="133" spans="2:36" x14ac:dyDescent="0.25"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e">
        <f>C24</f>
        <v>#VALUE!</v>
      </c>
    </row>
    <row r="135" spans="2:36" x14ac:dyDescent="0.25">
      <c r="Y135" s="14" t="s">
        <v>143</v>
      </c>
      <c r="Z135" s="15" t="e">
        <f>Pbuf_calc</f>
        <v>#VALUE!</v>
      </c>
    </row>
    <row r="136" spans="2:36" x14ac:dyDescent="0.25">
      <c r="Y136" s="14" t="s">
        <v>144</v>
      </c>
      <c r="Z136" s="22" t="e">
        <f>Y129</f>
        <v>#VALUE!</v>
      </c>
    </row>
    <row r="137" spans="2:36" x14ac:dyDescent="0.25">
      <c r="C137" t="e">
        <f>q_gas_GLV-Q_gas_free</f>
        <v>#VALUE!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 t="e">
        <f t="array" ref="Z144:AJ145">[1]!MF_choke_p_atma(Z133,Z134,Z135,Z136,Z137,Z139,Z140,Z141,Z142,Z143)</f>
        <v>#VALUE!</v>
      </c>
      <c r="AA144" s="16" t="e">
        <v>#VALUE!</v>
      </c>
      <c r="AB144" s="16" t="e">
        <v>#VALUE!</v>
      </c>
      <c r="AC144" s="16" t="e">
        <v>#VALUE!</v>
      </c>
      <c r="AD144" s="16" t="e">
        <v>#VALUE!</v>
      </c>
      <c r="AE144" s="16" t="e">
        <v>#VALUE!</v>
      </c>
      <c r="AF144" s="16" t="e">
        <v>#VALUE!</v>
      </c>
      <c r="AG144" s="16" t="e">
        <v>#VALUE!</v>
      </c>
      <c r="AH144" s="16" t="e">
        <v>#VALUE!</v>
      </c>
      <c r="AI144" s="16" t="e">
        <v>#VALUE!</v>
      </c>
      <c r="AJ144" s="16" t="e">
        <v>#VALUE!</v>
      </c>
    </row>
    <row r="145" spans="25:36" x14ac:dyDescent="0.25">
      <c r="Z145" s="16" t="e">
        <v>#VALUE!</v>
      </c>
      <c r="AA145" s="16" t="e">
        <v>#VALUE!</v>
      </c>
      <c r="AB145" s="16" t="e">
        <v>#VALUE!</v>
      </c>
      <c r="AC145" s="16" t="e">
        <v>#VALUE!</v>
      </c>
      <c r="AD145" s="16" t="e">
        <v>#VALUE!</v>
      </c>
      <c r="AE145" s="16" t="e">
        <v>#VALUE!</v>
      </c>
      <c r="AF145" s="16" t="e">
        <v>#VALUE!</v>
      </c>
      <c r="AG145" s="16" t="e">
        <v>#VALUE!</v>
      </c>
      <c r="AH145" s="16" t="e">
        <v>#VALUE!</v>
      </c>
      <c r="AI145" s="16" t="e">
        <v>#VALUE!</v>
      </c>
      <c r="AJ145" s="16" t="e">
        <v>#VALUE!</v>
      </c>
    </row>
    <row r="147" spans="25:36" x14ac:dyDescent="0.25">
      <c r="Y147" s="14" t="s">
        <v>148</v>
      </c>
    </row>
    <row r="148" spans="25:36" x14ac:dyDescent="0.25">
      <c r="Z148" t="e">
        <f>choke_p</f>
        <v>#VALUE!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43B09-72CF-49BE-A4F5-21487665DB72}">
  <sheetPr codeName="Лист3"/>
  <dimension ref="A10:AJ148"/>
  <sheetViews>
    <sheetView topLeftCell="A24" zoomScaleNormal="100" workbookViewId="0">
      <selection activeCell="O78" sqref="O78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{"gamma_gas":0.8,"gamma_oil":0.86,"gamma_wat":1.1,"rsb_m3m3":120,"pb_atma":120,"t_res_C":100,"bob_m3m3":1.2,"muob_cP":1,"PVT_corr_set":0,"q_liq_sm3day":55,"fw_perc":0}</v>
      </c>
    </row>
    <row r="24" spans="1:22" x14ac:dyDescent="0.25">
      <c r="B24" t="s">
        <v>137</v>
      </c>
      <c r="C24" t="str" cm="1">
        <f t="array" ref="C24">[1]!encode_feed(Qliq,f_sep,,Q_gas_free,PVT_json)</f>
        <v>{"gamma_gas":0.8,"gamma_oil":0.86,"gamma_wat":1.1,"rsb_m3m3":120,"pb_atma":120,"t_res_C":100,"bob_m3m3":1.2,"muob_cP":1,"PVT_corr_set":0,"q_liq_sm3day":55,"fw_perc":0,"q_gas_free_sm3day":5500}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v>55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>
        <f>Pbuf_calc</f>
        <v>30</v>
      </c>
      <c r="D33" s="8" t="s">
        <v>71</v>
      </c>
      <c r="F33" t="s">
        <v>150</v>
      </c>
      <c r="G33">
        <f>P_line_calc</f>
        <v>29.393999999999998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0</v>
      </c>
      <c r="D34" s="8" t="s">
        <v>71</v>
      </c>
      <c r="F34" s="1" t="s">
        <v>151</v>
      </c>
      <c r="G34" s="24">
        <f>ABS(G33-P_wh)</f>
        <v>0.60600000000000165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2700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40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30" t="s">
        <v>92</v>
      </c>
      <c r="C53" s="30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>(Hperf-Hgas_inj)/npt+H55</f>
        <v>2225</v>
      </c>
      <c r="I56" s="4" cm="1">
        <f t="array" ref="I56">[1]!crv_interpolation($B$55:$B$71,$C$55:$C$71,H56)</f>
        <v>2049.25</v>
      </c>
      <c r="K56" s="4">
        <f t="shared" ref="K56" si="0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E57" t="s">
        <v>107</v>
      </c>
      <c r="H57" s="4">
        <f t="shared" ref="H57" si="1">(Hperf-Hgas_inj)/npt+H56</f>
        <v>2250</v>
      </c>
      <c r="I57" s="4" cm="1">
        <f t="array" ref="I57">[1]!crv_interpolation($B$55:$B$71,$C$55:$C$71,H57)</f>
        <v>2067.5</v>
      </c>
      <c r="K57" s="4">
        <f t="shared" ref="K57" si="2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s="9" t="s">
        <v>93</v>
      </c>
      <c r="F58" s="9" t="s">
        <v>81</v>
      </c>
      <c r="H58" s="4">
        <f t="shared" ref="H58" si="3">(Hperf-Hgas_inj)/npt+H57</f>
        <v>2275</v>
      </c>
      <c r="I58" s="4" cm="1">
        <f t="array" ref="I58">[1]!crv_interpolation($B$55:$B$71,$C$55:$C$71,H58)</f>
        <v>2085.75</v>
      </c>
      <c r="K58" s="4">
        <f t="shared" ref="K58" si="4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4">
        <v>0</v>
      </c>
      <c r="F59" s="4">
        <f>dtub</f>
        <v>65</v>
      </c>
      <c r="H59" s="4">
        <f t="shared" ref="H59" si="5">(Hperf-Hgas_inj)/npt+H58</f>
        <v>2300</v>
      </c>
      <c r="I59" s="4" cm="1">
        <f t="array" ref="I59">[1]!crv_interpolation($B$55:$B$71,$C$55:$C$71,H59)</f>
        <v>2104</v>
      </c>
      <c r="K59" s="4">
        <f t="shared" ref="K59" si="6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>
        <f>Hpaker</f>
        <v>1900</v>
      </c>
      <c r="F60">
        <f>SQRT($C$47^2-$C$48^2)</f>
        <v>51.234753829797995</v>
      </c>
      <c r="H60" s="4">
        <f t="shared" ref="H60" si="7">(Hperf-Hgas_inj)/npt+H59</f>
        <v>2325</v>
      </c>
      <c r="I60" s="4" cm="1">
        <f t="array" ref="I60">[1]!crv_interpolation($B$55:$B$71,$C$55:$C$71,H60)</f>
        <v>2121.75</v>
      </c>
      <c r="K60" s="4">
        <f t="shared" ref="K60" si="8">(Hgas_inj)/npt+K59</f>
        <v>550</v>
      </c>
      <c r="L60" s="4" cm="1">
        <f t="array" ref="L60">[1]!crv_interpolation($B$55:$B$71,$C$55:$C$71,K60)</f>
        <v>550</v>
      </c>
      <c r="O60" t="str" cm="1">
        <f t="array" ref="O60">[1]!encode_json(H55:H75)</f>
        <v>[2200,2225,2250,2275,2300,2325,2350,2375,2400,2425,2450,2475,2500,2525,2550,2575,2600,2625,2650,2675,2700]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f>dcas</f>
        <v>140</v>
      </c>
      <c r="H61" s="4">
        <f t="shared" ref="H61" si="9">(Hperf-Hgas_inj)/npt+H60</f>
        <v>2350</v>
      </c>
      <c r="I61" s="4" cm="1">
        <f t="array" ref="I61">[1]!crv_interpolation($B$55:$B$71,$C$55:$C$71,H61)</f>
        <v>2139.5</v>
      </c>
      <c r="K61" s="4">
        <f t="shared" ref="K61" si="10">(Hgas_inj)/npt+K60</f>
        <v>660</v>
      </c>
      <c r="L61" s="4" cm="1">
        <f t="array" ref="L61">[1]!crv_interpolation($B$55:$B$71,$C$55:$C$71,K61)</f>
        <v>660</v>
      </c>
      <c r="O61" t="str" cm="1">
        <f t="array" ref="O61">[1]!encode_json(I55:I75)</f>
        <v>[2031,2049.25,2067.5,2085.75,2104,2121.75,2139.5,2157.25,2175,2192.25,2209.5,2226.75,2244,2261.25,2278.5,2295.75,2313,2330.25,2347.5,2364.75,2382]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f>dcas</f>
        <v>140</v>
      </c>
      <c r="H62" s="4">
        <f t="shared" ref="H62" si="11">(Hperf-Hgas_inj)/npt+H61</f>
        <v>2375</v>
      </c>
      <c r="I62" s="4" cm="1">
        <f t="array" ref="I62">[1]!crv_interpolation($B$55:$B$71,$C$55:$C$71,H62)</f>
        <v>2157.25</v>
      </c>
      <c r="K62" s="4">
        <f t="shared" ref="K62" si="12">(Hgas_inj)/npt+K61</f>
        <v>770</v>
      </c>
      <c r="L62" s="4" cm="1">
        <f t="array" ref="L62">[1]!crv_interpolation($B$55:$B$71,$C$55:$C$71,K62)</f>
        <v>770</v>
      </c>
      <c r="O62" t="s">
        <v>166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3">(Hperf-Hgas_inj)/npt+H62</f>
        <v>2400</v>
      </c>
      <c r="I63" s="4" cm="1">
        <f t="array" ref="I63">[1]!crv_interpolation($B$55:$B$71,$C$55:$C$71,H63)</f>
        <v>2175</v>
      </c>
      <c r="K63" s="4">
        <f t="shared" ref="K63" si="14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5">(Hperf-Hgas_inj)/npt+H63</f>
        <v>2425</v>
      </c>
      <c r="I64" s="4" cm="1">
        <f t="array" ref="I64">[1]!crv_interpolation($B$55:$B$71,$C$55:$C$71,H64)</f>
        <v>2192.25</v>
      </c>
      <c r="K64" s="4">
        <f t="shared" ref="K64" si="16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7">(Hperf-Hgas_inj)/npt+H64</f>
        <v>2450</v>
      </c>
      <c r="I65" s="4" cm="1">
        <f t="array" ref="I65">[1]!crv_interpolation($B$55:$B$71,$C$55:$C$71,H65)</f>
        <v>2209.5</v>
      </c>
      <c r="K65" s="4">
        <f t="shared" ref="K65" si="18">(Hgas_inj)/npt+K64</f>
        <v>1100</v>
      </c>
      <c r="L65" s="4" cm="1">
        <f t="array" ref="L65">[1]!crv_interpolation($B$55:$B$71,$C$55:$C$71,K65)</f>
        <v>1096</v>
      </c>
      <c r="O65" t="str">
        <f t="array" ref="O65">[1]!encode_json($E$59:$F$62)</f>
        <v>{"0":65,"1900":51.234753829798,"2200":140,"4000":140}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SQRT($F$61^2-$F$59^2)</f>
        <v>123.99596767637244</v>
      </c>
      <c r="H66" s="4">
        <f t="shared" ref="H66" si="19">(Hperf-Hgas_inj)/npt+H65</f>
        <v>2475</v>
      </c>
      <c r="I66" s="4" cm="1">
        <f t="array" ref="I66">[1]!crv_interpolation($B$55:$B$71,$C$55:$C$71,H66)</f>
        <v>2226.75</v>
      </c>
      <c r="K66" s="4">
        <f t="shared" ref="K66" si="20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f>dgas_tub</f>
        <v>40</v>
      </c>
      <c r="H67" s="4">
        <f t="shared" ref="H67" si="21">(Hperf-Hgas_inj)/npt+H66</f>
        <v>2500</v>
      </c>
      <c r="I67" s="4" cm="1">
        <f t="array" ref="I67">[1]!crv_interpolation($B$55:$B$71,$C$55:$C$71,H67)</f>
        <v>2244</v>
      </c>
      <c r="K67" s="4">
        <f t="shared" ref="K67" si="22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f>dcas</f>
        <v>140</v>
      </c>
      <c r="H68" s="4">
        <f t="shared" ref="H68" si="23">(Hperf-Hgas_inj)/npt+H67</f>
        <v>2525</v>
      </c>
      <c r="I68" s="4" cm="1">
        <f t="array" ref="I68">[1]!crv_interpolation($B$55:$B$71,$C$55:$C$71,H68)</f>
        <v>2261.25</v>
      </c>
      <c r="K68" s="4">
        <f t="shared" ref="K68" si="24">(Hgas_inj)/npt+K67</f>
        <v>1430</v>
      </c>
      <c r="L68" s="4" cm="1">
        <f t="array" ref="L68">[1]!crv_interpolation($B$55:$B$71,$C$55:$C$71,K68)</f>
        <v>1401.7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f>dcas</f>
        <v>140</v>
      </c>
      <c r="H69" s="4">
        <f t="shared" ref="H69" si="25">(Hperf-Hgas_inj)/npt+H68</f>
        <v>2550</v>
      </c>
      <c r="I69" s="4" cm="1">
        <f t="array" ref="I69">[1]!crv_interpolation($B$55:$B$71,$C$55:$C$71,H69)</f>
        <v>2278.5</v>
      </c>
      <c r="K69" s="4">
        <f t="shared" ref="K69" si="26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7">(Hperf-Hgas_inj)/npt+H69</f>
        <v>2575</v>
      </c>
      <c r="I70" s="4" cm="1">
        <f t="array" ref="I70">[1]!crv_interpolation($B$55:$B$71,$C$55:$C$71,H70)</f>
        <v>2295.75</v>
      </c>
      <c r="K70" s="4">
        <f t="shared" ref="K70" si="28">(Hgas_inj)/npt+K69</f>
        <v>1650</v>
      </c>
      <c r="L70" s="4" cm="1">
        <f t="array" ref="L70">[1]!crv_interpolation($B$55:$B$71,$C$55:$C$71,K70)</f>
        <v>1593.5</v>
      </c>
      <c r="Q70" s="14"/>
      <c r="R70" s="15"/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29">(Hperf-Hgas_inj)/npt+H70</f>
        <v>2600</v>
      </c>
      <c r="I71" s="4" cm="1">
        <f t="array" ref="I71">[1]!crv_interpolation($B$55:$B$71,$C$55:$C$71,H71)</f>
        <v>2313</v>
      </c>
      <c r="K71" s="4">
        <f t="shared" ref="K71" si="30">(Hgas_inj)/npt+K70</f>
        <v>1760</v>
      </c>
      <c r="L71" s="4" cm="1">
        <f t="array" ref="L71">[1]!crv_interpolation($B$55:$B$71,$C$55:$C$71,K71)</f>
        <v>1685.8</v>
      </c>
      <c r="Q71" s="14"/>
      <c r="R71" s="15"/>
      <c r="T71">
        <v>200</v>
      </c>
      <c r="U71">
        <v>450</v>
      </c>
      <c r="V71">
        <v>139</v>
      </c>
    </row>
    <row r="72" spans="2:22" x14ac:dyDescent="0.25">
      <c r="H72" s="4">
        <f t="shared" ref="H72" si="31">(Hperf-Hgas_inj)/npt+H71</f>
        <v>2625</v>
      </c>
      <c r="I72" s="4" cm="1">
        <f t="array" ref="I72">[1]!crv_interpolation($B$55:$B$71,$C$55:$C$71,H72)</f>
        <v>2330.25</v>
      </c>
      <c r="K72" s="4">
        <f t="shared" ref="K72" si="32">(Hgas_inj)/npt+K71</f>
        <v>1870</v>
      </c>
      <c r="L72" s="4" cm="1">
        <f t="array" ref="L72">[1]!crv_interpolation($B$55:$B$71,$C$55:$C$71,K72)</f>
        <v>1775.7</v>
      </c>
      <c r="Q72" s="14"/>
      <c r="R72" s="15"/>
      <c r="T72">
        <v>200</v>
      </c>
      <c r="U72">
        <v>500</v>
      </c>
      <c r="V72">
        <v>140</v>
      </c>
    </row>
    <row r="73" spans="2:22" x14ac:dyDescent="0.25">
      <c r="H73" s="4">
        <f t="shared" ref="H73" si="33">(Hperf-Hgas_inj)/npt+H72</f>
        <v>2650</v>
      </c>
      <c r="I73" s="4" cm="1">
        <f t="array" ref="I73">[1]!crv_interpolation($B$55:$B$71,$C$55:$C$71,H73)</f>
        <v>2347.5</v>
      </c>
      <c r="K73" s="4">
        <f t="shared" ref="K73" si="34">(Hgas_inj)/npt+K72</f>
        <v>1980</v>
      </c>
      <c r="L73" s="4" cm="1">
        <f t="array" ref="L73">[1]!crv_interpolation($B$55:$B$71,$C$55:$C$71,K73)</f>
        <v>1863.2</v>
      </c>
      <c r="Q73" s="14"/>
      <c r="R73" s="15"/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5">(Hperf-Hgas_inj)/npt+H73</f>
        <v>2675</v>
      </c>
      <c r="I74" s="4" cm="1">
        <f t="array" ref="I74">[1]!crv_interpolation($B$55:$B$71,$C$55:$C$71,H74)</f>
        <v>2364.75</v>
      </c>
      <c r="K74" s="4">
        <f t="shared" ref="K74" si="36">(Hgas_inj)/npt+K73</f>
        <v>2090</v>
      </c>
      <c r="L74" s="4" cm="1">
        <f t="array" ref="L74">[1]!crv_interpolation($B$55:$B$71,$C$55:$C$71,K74)</f>
        <v>1948.3</v>
      </c>
      <c r="Q74" s="14"/>
      <c r="R74" s="19"/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7">(Hperf-Hgas_inj)/npt+H74</f>
        <v>2700</v>
      </c>
      <c r="I75" s="4" cm="1">
        <f t="array" ref="I75">[1]!crv_interpolation($B$55:$B$71,$C$55:$C$71,H75)</f>
        <v>2382</v>
      </c>
      <c r="K75" s="4">
        <f t="shared" ref="K75" si="38">(Hgas_inj)/npt+K74</f>
        <v>2200</v>
      </c>
      <c r="L75" s="4" cm="1">
        <f t="array" ref="L75">[1]!crv_interpolation($B$55:$B$71,$C$55:$C$71,K75)</f>
        <v>2031</v>
      </c>
      <c r="Q75" s="14"/>
      <c r="R75" s="16"/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[1]!encode_pipe_construction(O60,E59:F62,0.2,O61)</f>
        <v>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</v>
      </c>
      <c r="N77" s="9" t="s">
        <v>120</v>
      </c>
      <c r="O77" s="4" t="str" cm="1">
        <f t="array" ref="O77">[1]!encode_pipe_construction(K55:L75,E59:F62)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,"t_model":{"t_model":1,"t_list_C":{"hvert_m":[0,1000,2000,2500],"t_C":[10,35,80,95]}},"flow_correlation":0,"flow_along_coord":false,"calibr_grav":1,"calibr_fric":1,"h_start_m":2200,"h_end_m":2700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  <c r="O79" t="s">
        <v>170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5" spans="2:25" x14ac:dyDescent="0.25">
      <c r="I85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[1]!GLV_p_atma(dchoke_cas,Pgas_line,Q_gas_free,gamma_gas_,T_wh,0,,calibr_gas)</f>
        <v>0</v>
      </c>
      <c r="D89" s="18">
        <v>0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109.59935794377111</v>
      </c>
      <c r="P89" cm="1">
        <f t="array" ref="P89">[1]!IPR_q_liq_sm3day(C41,0)</f>
        <v>83.333333333333329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Pgas_line</f>
        <v>100</v>
      </c>
      <c r="M93" s="14" t="s">
        <v>114</v>
      </c>
      <c r="N93" s="22">
        <f>P_wh</f>
        <v>30</v>
      </c>
      <c r="X93" s="14" t="s">
        <v>114</v>
      </c>
      <c r="Y93" s="15">
        <f>P_GLV_out</f>
        <v>138.32844517662167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22">
        <v>50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,"t_model":{"t_model":1,"t_list_C":{"hvert_m":[0,1000,2000,2500],"t_C":[10,35,80,95]}},"flow_correlation":0,"flow_along_coord":false,"calibr_grav":1,"calibr_fric":1,"h_start_m":2200,"h_end_m":2700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{"gamma_gas":0.8,"gamma_oil":0.86,"gamma_wat":1.1,"rsb_m3m3":120,"pb_atma":120,"t_res_C":100,"bob_m3m3":1.2,"muob_cP":1,"PVT_corr_set":0,"q_liq_sm3day":55,"fw_perc":0,"q_gas_free_sm3day":5500}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{"gamma_gas":0.8,"gamma_oil":0.86,"gamma_wat":1.1,"rsb_m3m3":120,"pb_atma":120,"t_res_C":100,"bob_m3m3":1.2,"muob_cP":1,"PVT_corr_set":0,"q_liq_sm3day":55,"fw_perc":0}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55</v>
      </c>
      <c r="X99" s="14" t="s">
        <v>102</v>
      </c>
      <c r="Y99" s="15">
        <f>Qliq</f>
        <v>55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0</v>
      </c>
      <c r="X100" s="14" t="s">
        <v>103</v>
      </c>
      <c r="Y100" s="15">
        <f>f_sep</f>
        <v>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D97, D98, D99, D100, D101, D102)</f>
        <v>131.636</v>
      </c>
      <c r="D103" s="20">
        <v>100</v>
      </c>
      <c r="E103" s="20">
        <v>10</v>
      </c>
      <c r="F103" s="20">
        <v>131.636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[1]!MF_pipe_p_atma(N93, N94, N95, N96, N97, N98, N99, N100, N101, N102)</f>
        <v>138.328</v>
      </c>
      <c r="N103" s="20">
        <v>30</v>
      </c>
      <c r="O103" s="20">
        <v>10</v>
      </c>
      <c r="P103" s="20">
        <v>138.328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166.423</v>
      </c>
      <c r="Y103" s="20">
        <v>138.328</v>
      </c>
      <c r="Z103" s="20">
        <v>80.930000000000007</v>
      </c>
      <c r="AA103" s="20">
        <v>166.423</v>
      </c>
      <c r="AB103" s="20">
        <v>91.46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100</v>
      </c>
      <c r="F106" s="20">
        <v>10</v>
      </c>
      <c r="G106" s="20">
        <v>10</v>
      </c>
      <c r="H106" s="20">
        <v>0</v>
      </c>
      <c r="I106" s="20">
        <v>101</v>
      </c>
      <c r="J106" s="20">
        <v>123.996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35.44816144403589</v>
      </c>
      <c r="S106" s="20">
        <v>1</v>
      </c>
      <c r="T106" s="20">
        <v>65</v>
      </c>
      <c r="X106" s="20">
        <v>2200</v>
      </c>
      <c r="Y106" s="20">
        <v>2031</v>
      </c>
      <c r="Z106" s="20">
        <v>138.32844517662167</v>
      </c>
      <c r="AA106" s="20">
        <v>80.930000000000007</v>
      </c>
      <c r="AB106" s="20">
        <v>80.930000000000007</v>
      </c>
      <c r="AC106" s="20">
        <v>100</v>
      </c>
      <c r="AD106" s="20">
        <v>3</v>
      </c>
      <c r="AE106" s="20">
        <v>140</v>
      </c>
    </row>
    <row r="107" spans="3:31" x14ac:dyDescent="0.25">
      <c r="C107" s="20">
        <v>122.22222222222223</v>
      </c>
      <c r="D107" s="20">
        <v>122.22222222222223</v>
      </c>
      <c r="E107" s="20">
        <v>102.12806537978533</v>
      </c>
      <c r="F107" s="20">
        <v>13.055555555555555</v>
      </c>
      <c r="G107" s="20">
        <v>13.055555555555555</v>
      </c>
      <c r="H107" s="20">
        <v>0</v>
      </c>
      <c r="I107" s="20">
        <v>101</v>
      </c>
      <c r="J107" s="20">
        <v>123.996</v>
      </c>
      <c r="M107" s="20">
        <v>122.22222222222223</v>
      </c>
      <c r="N107" s="20">
        <v>122.22222222222223</v>
      </c>
      <c r="O107" s="23">
        <v>34.232542445557527</v>
      </c>
      <c r="P107" s="20">
        <v>13.055555555555555</v>
      </c>
      <c r="Q107" s="20">
        <v>13.055555555555555</v>
      </c>
      <c r="R107" s="20">
        <v>38.498384937754672</v>
      </c>
      <c r="S107" s="20">
        <v>1</v>
      </c>
      <c r="T107" s="20">
        <v>65</v>
      </c>
      <c r="X107" s="20">
        <v>2226.3157894736842</v>
      </c>
      <c r="Y107" s="20">
        <v>2050.2105263157896</v>
      </c>
      <c r="Z107" s="20">
        <v>139.86391519026427</v>
      </c>
      <c r="AA107" s="20">
        <v>81.506315789473689</v>
      </c>
      <c r="AB107" s="20">
        <v>81.506315789473689</v>
      </c>
      <c r="AC107" s="20">
        <v>100</v>
      </c>
      <c r="AD107" s="20">
        <v>3</v>
      </c>
      <c r="AE107" s="20">
        <v>140</v>
      </c>
    </row>
    <row r="108" spans="3:31" x14ac:dyDescent="0.25">
      <c r="C108" s="20">
        <v>244.44444444444446</v>
      </c>
      <c r="D108" s="20">
        <v>244.44444444444446</v>
      </c>
      <c r="E108" s="20">
        <v>104.23311657601462</v>
      </c>
      <c r="F108" s="20">
        <v>16.111111111111111</v>
      </c>
      <c r="G108" s="20">
        <v>16.111111111111111</v>
      </c>
      <c r="H108" s="20">
        <v>0</v>
      </c>
      <c r="I108" s="20">
        <v>101</v>
      </c>
      <c r="J108" s="20">
        <v>123.996</v>
      </c>
      <c r="M108" s="20">
        <v>244.44444444444446</v>
      </c>
      <c r="N108" s="20">
        <v>244.44444444444446</v>
      </c>
      <c r="O108" s="23">
        <v>38.734117139437366</v>
      </c>
      <c r="P108" s="20">
        <v>16.111111111111111</v>
      </c>
      <c r="Q108" s="20">
        <v>16.111111111111111</v>
      </c>
      <c r="R108" s="20">
        <v>41.597045755792209</v>
      </c>
      <c r="S108" s="20">
        <v>1</v>
      </c>
      <c r="T108" s="20">
        <v>65</v>
      </c>
      <c r="X108" s="20">
        <v>2252.6315789473683</v>
      </c>
      <c r="Y108" s="20">
        <v>2069.4210526315787</v>
      </c>
      <c r="Z108" s="20">
        <v>141.39728374734736</v>
      </c>
      <c r="AA108" s="20">
        <v>82.082631578947371</v>
      </c>
      <c r="AB108" s="20">
        <v>82.082631578947371</v>
      </c>
      <c r="AC108" s="20">
        <v>100</v>
      </c>
      <c r="AD108" s="20">
        <v>3</v>
      </c>
      <c r="AE108" s="20">
        <v>140</v>
      </c>
    </row>
    <row r="109" spans="3:31" x14ac:dyDescent="0.25">
      <c r="C109" s="20">
        <v>366.66666666666669</v>
      </c>
      <c r="D109" s="20">
        <v>366.66666666666669</v>
      </c>
      <c r="E109" s="20">
        <v>106.31481615453136</v>
      </c>
      <c r="F109" s="20">
        <v>19.166666666666668</v>
      </c>
      <c r="G109" s="20">
        <v>19.166666666666668</v>
      </c>
      <c r="H109" s="20">
        <v>0</v>
      </c>
      <c r="I109" s="20">
        <v>101</v>
      </c>
      <c r="J109" s="20">
        <v>123.996</v>
      </c>
      <c r="M109" s="20">
        <v>366.66666666666669</v>
      </c>
      <c r="N109" s="20">
        <v>366.66666666666669</v>
      </c>
      <c r="O109" s="23">
        <v>43.577406267654673</v>
      </c>
      <c r="P109" s="20">
        <v>19.166666666666668</v>
      </c>
      <c r="Q109" s="20">
        <v>19.166666666666668</v>
      </c>
      <c r="R109" s="20">
        <v>44.768983381394484</v>
      </c>
      <c r="S109" s="20">
        <v>1</v>
      </c>
      <c r="T109" s="20">
        <v>65</v>
      </c>
      <c r="X109" s="20">
        <v>2278.9473684210525</v>
      </c>
      <c r="Y109" s="20">
        <v>2088.6315789473683</v>
      </c>
      <c r="Z109" s="20">
        <v>142.91173919539511</v>
      </c>
      <c r="AA109" s="20">
        <v>82.658947368421053</v>
      </c>
      <c r="AB109" s="20">
        <v>82.658947368421053</v>
      </c>
      <c r="AC109" s="20">
        <v>100</v>
      </c>
      <c r="AD109" s="20">
        <v>3</v>
      </c>
      <c r="AE109" s="20">
        <v>140</v>
      </c>
    </row>
    <row r="110" spans="3:31" x14ac:dyDescent="0.25">
      <c r="C110" s="20">
        <v>488.88888888888891</v>
      </c>
      <c r="D110" s="20">
        <v>488.88888888888891</v>
      </c>
      <c r="E110" s="20">
        <v>108.37495932753022</v>
      </c>
      <c r="F110" s="20">
        <v>22.222222222222221</v>
      </c>
      <c r="G110" s="20">
        <v>22.222222222222221</v>
      </c>
      <c r="H110" s="20">
        <v>0</v>
      </c>
      <c r="I110" s="20">
        <v>101</v>
      </c>
      <c r="J110" s="20">
        <v>123.996</v>
      </c>
      <c r="M110" s="20">
        <v>488.88888888888891</v>
      </c>
      <c r="N110" s="20">
        <v>488.88888888888891</v>
      </c>
      <c r="O110" s="23">
        <v>48.730080843105874</v>
      </c>
      <c r="P110" s="20">
        <v>22.222222222222221</v>
      </c>
      <c r="Q110" s="20">
        <v>22.222222222222221</v>
      </c>
      <c r="R110" s="20">
        <v>47.900026509059593</v>
      </c>
      <c r="S110" s="20">
        <v>1</v>
      </c>
      <c r="T110" s="20">
        <v>65</v>
      </c>
      <c r="X110" s="20">
        <v>2305.2631578947367</v>
      </c>
      <c r="Y110" s="20">
        <v>2107.7368421052629</v>
      </c>
      <c r="Z110" s="20">
        <v>144.42198464794402</v>
      </c>
      <c r="AA110" s="20">
        <v>83.232105263157891</v>
      </c>
      <c r="AB110" s="20">
        <v>83.232105263157891</v>
      </c>
      <c r="AC110" s="20">
        <v>100</v>
      </c>
      <c r="AD110" s="20">
        <v>3</v>
      </c>
      <c r="AE110" s="20">
        <v>140</v>
      </c>
    </row>
    <row r="111" spans="3:31" x14ac:dyDescent="0.25">
      <c r="C111" s="20">
        <v>611.11111111111109</v>
      </c>
      <c r="D111" s="20">
        <v>611.11111111111109</v>
      </c>
      <c r="E111" s="20">
        <v>110.4140746269163</v>
      </c>
      <c r="F111" s="20">
        <v>25.277777777777779</v>
      </c>
      <c r="G111" s="20">
        <v>25.277777777777779</v>
      </c>
      <c r="H111" s="20">
        <v>0</v>
      </c>
      <c r="I111" s="20">
        <v>101</v>
      </c>
      <c r="J111" s="20">
        <v>123.996</v>
      </c>
      <c r="M111" s="20">
        <v>611.11111111111109</v>
      </c>
      <c r="N111" s="20">
        <v>611.11111111111109</v>
      </c>
      <c r="O111" s="23">
        <v>54.202144836327207</v>
      </c>
      <c r="P111" s="20">
        <v>25.277777777777779</v>
      </c>
      <c r="Q111" s="20">
        <v>25.277777777777779</v>
      </c>
      <c r="R111" s="20">
        <v>51.087471791402471</v>
      </c>
      <c r="S111" s="20">
        <v>1</v>
      </c>
      <c r="T111" s="20">
        <v>65</v>
      </c>
      <c r="X111" s="20">
        <v>2331.5789473684213</v>
      </c>
      <c r="Y111" s="20">
        <v>2126.4210526315792</v>
      </c>
      <c r="Z111" s="20">
        <v>145.91539011849747</v>
      </c>
      <c r="AA111" s="20">
        <v>83.792631578947379</v>
      </c>
      <c r="AB111" s="20">
        <v>83.792631578947379</v>
      </c>
      <c r="AC111" s="20">
        <v>100</v>
      </c>
      <c r="AD111" s="20">
        <v>3</v>
      </c>
      <c r="AE111" s="20">
        <v>140</v>
      </c>
    </row>
    <row r="112" spans="3:31" x14ac:dyDescent="0.25">
      <c r="C112" s="20">
        <v>733.33333333333337</v>
      </c>
      <c r="D112" s="20">
        <v>733.33333333333337</v>
      </c>
      <c r="E112" s="20">
        <v>112.43306988751746</v>
      </c>
      <c r="F112" s="20">
        <v>28.333333333333336</v>
      </c>
      <c r="G112" s="20">
        <v>28.333333333333336</v>
      </c>
      <c r="H112" s="20">
        <v>0</v>
      </c>
      <c r="I112" s="20">
        <v>101</v>
      </c>
      <c r="J112" s="20">
        <v>123.996</v>
      </c>
      <c r="M112" s="20">
        <v>733.33333333333337</v>
      </c>
      <c r="N112" s="20">
        <v>733.33333333333337</v>
      </c>
      <c r="O112" s="23">
        <v>59.992111767141168</v>
      </c>
      <c r="P112" s="20">
        <v>28.333333333333336</v>
      </c>
      <c r="Q112" s="20">
        <v>28.333333333333336</v>
      </c>
      <c r="R112" s="20">
        <v>54.24570288658834</v>
      </c>
      <c r="S112" s="20">
        <v>1</v>
      </c>
      <c r="T112" s="20">
        <v>65</v>
      </c>
      <c r="X112" s="20">
        <v>2357.8947368421054</v>
      </c>
      <c r="Y112" s="20">
        <v>2145.105263157895</v>
      </c>
      <c r="Z112" s="20">
        <v>147.40247571133784</v>
      </c>
      <c r="AA112" s="20">
        <v>84.353157894736853</v>
      </c>
      <c r="AB112" s="20">
        <v>84.353157894736853</v>
      </c>
      <c r="AC112" s="20">
        <v>100</v>
      </c>
      <c r="AD112" s="20">
        <v>3</v>
      </c>
      <c r="AE112" s="20">
        <v>140</v>
      </c>
    </row>
    <row r="113" spans="2:31" x14ac:dyDescent="0.25">
      <c r="C113" s="20">
        <v>855.55555555555566</v>
      </c>
      <c r="D113" s="20">
        <v>855.55555555555566</v>
      </c>
      <c r="E113" s="20">
        <v>114.43317361388287</v>
      </c>
      <c r="F113" s="20">
        <v>31.388888888888893</v>
      </c>
      <c r="G113" s="20">
        <v>31.388888888888893</v>
      </c>
      <c r="H113" s="20">
        <v>0</v>
      </c>
      <c r="I113" s="20">
        <v>101</v>
      </c>
      <c r="J113" s="20">
        <v>123.996</v>
      </c>
      <c r="M113" s="20">
        <v>855.55555555555566</v>
      </c>
      <c r="N113" s="20">
        <v>855.55555555555566</v>
      </c>
      <c r="O113" s="23">
        <v>66.086053177712841</v>
      </c>
      <c r="P113" s="20">
        <v>31.388888888888893</v>
      </c>
      <c r="Q113" s="20">
        <v>31.388888888888893</v>
      </c>
      <c r="R113" s="20">
        <v>57.3365314085287</v>
      </c>
      <c r="S113" s="20">
        <v>1</v>
      </c>
      <c r="T113" s="20">
        <v>65</v>
      </c>
      <c r="X113" s="20">
        <v>2384.2105263157896</v>
      </c>
      <c r="Y113" s="20">
        <v>2163.7894736842104</v>
      </c>
      <c r="Z113" s="20">
        <v>148.87481492284778</v>
      </c>
      <c r="AA113" s="20">
        <v>84.913684210526313</v>
      </c>
      <c r="AB113" s="20">
        <v>84.913684210526313</v>
      </c>
      <c r="AC113" s="20">
        <v>100</v>
      </c>
      <c r="AD113" s="20">
        <v>3</v>
      </c>
      <c r="AE113" s="20">
        <v>140</v>
      </c>
    </row>
    <row r="114" spans="2:31" x14ac:dyDescent="0.25">
      <c r="C114" s="20">
        <v>977.77777777777783</v>
      </c>
      <c r="D114" s="20">
        <v>977.49494949494954</v>
      </c>
      <c r="E114" s="20">
        <v>116.40253519833392</v>
      </c>
      <c r="F114" s="20">
        <v>34.43737373737374</v>
      </c>
      <c r="G114" s="20">
        <v>34.43737373737374</v>
      </c>
      <c r="H114" s="20">
        <v>0</v>
      </c>
      <c r="I114" s="20">
        <v>101</v>
      </c>
      <c r="J114" s="20">
        <v>123.996</v>
      </c>
      <c r="M114" s="20">
        <v>977.77777777777783</v>
      </c>
      <c r="N114" s="20">
        <v>977.49494949494954</v>
      </c>
      <c r="O114" s="23">
        <v>72.576484625598056</v>
      </c>
      <c r="P114" s="20">
        <v>34.43737373737374</v>
      </c>
      <c r="Q114" s="20">
        <v>34.43737373737374</v>
      </c>
      <c r="R114" s="20">
        <v>64.48007364487249</v>
      </c>
      <c r="S114" s="20">
        <v>1</v>
      </c>
      <c r="T114" s="20">
        <v>65</v>
      </c>
      <c r="X114" s="20">
        <v>2410.5263157894738</v>
      </c>
      <c r="Y114" s="20">
        <v>2182.2631578947371</v>
      </c>
      <c r="Z114" s="20">
        <v>150.34291047366855</v>
      </c>
      <c r="AA114" s="20">
        <v>85.467894736842112</v>
      </c>
      <c r="AB114" s="20">
        <v>85.467894736842112</v>
      </c>
      <c r="AC114" s="20">
        <v>100</v>
      </c>
      <c r="AD114" s="20">
        <v>3</v>
      </c>
      <c r="AE114" s="20">
        <v>140</v>
      </c>
    </row>
    <row r="115" spans="2:31" x14ac:dyDescent="0.25">
      <c r="C115" s="20">
        <v>1100</v>
      </c>
      <c r="D115" s="20">
        <v>1096</v>
      </c>
      <c r="E115" s="20">
        <v>118.27589699437478</v>
      </c>
      <c r="F115" s="20">
        <v>39.32</v>
      </c>
      <c r="G115" s="20">
        <v>39.32</v>
      </c>
      <c r="H115" s="20">
        <v>0</v>
      </c>
      <c r="I115" s="20">
        <v>101</v>
      </c>
      <c r="J115" s="20">
        <v>123.996</v>
      </c>
      <c r="M115" s="20">
        <v>1100</v>
      </c>
      <c r="N115" s="20">
        <v>1096</v>
      </c>
      <c r="O115" s="23">
        <v>79.368700026365161</v>
      </c>
      <c r="P115" s="20">
        <v>39.32</v>
      </c>
      <c r="Q115" s="20">
        <v>39.32</v>
      </c>
      <c r="R115" s="20">
        <v>68.113400460390068</v>
      </c>
      <c r="S115" s="20">
        <v>1</v>
      </c>
      <c r="T115" s="20">
        <v>65</v>
      </c>
      <c r="X115" s="20">
        <v>2436.8421052631579</v>
      </c>
      <c r="Y115" s="20">
        <v>2200.4210526315792</v>
      </c>
      <c r="Z115" s="20">
        <v>151.80464053345557</v>
      </c>
      <c r="AA115" s="20">
        <v>86.012631578947364</v>
      </c>
      <c r="AB115" s="20">
        <v>86.012631578947364</v>
      </c>
      <c r="AC115" s="20">
        <v>100</v>
      </c>
      <c r="AD115" s="20">
        <v>3</v>
      </c>
      <c r="AE115" s="20">
        <v>140</v>
      </c>
    </row>
    <row r="116" spans="2:31" x14ac:dyDescent="0.25">
      <c r="C116" s="20">
        <v>1222.2222222222222</v>
      </c>
      <c r="D116" s="20">
        <v>1211.4525252525252</v>
      </c>
      <c r="E116" s="20">
        <v>120.07165965541994</v>
      </c>
      <c r="F116" s="20">
        <v>44.515363636363631</v>
      </c>
      <c r="G116" s="20">
        <v>44.515363636363631</v>
      </c>
      <c r="H116" s="20">
        <v>0</v>
      </c>
      <c r="I116" s="20">
        <v>101</v>
      </c>
      <c r="J116" s="20">
        <v>123.996</v>
      </c>
      <c r="M116" s="20">
        <v>1222.2222222222222</v>
      </c>
      <c r="N116" s="20">
        <v>1211.4525252525252</v>
      </c>
      <c r="O116" s="23">
        <v>86.301668422218441</v>
      </c>
      <c r="P116" s="20">
        <v>44.515363636363631</v>
      </c>
      <c r="Q116" s="20">
        <v>44.515363636363631</v>
      </c>
      <c r="R116" s="20">
        <v>70.393477962106516</v>
      </c>
      <c r="S116" s="20">
        <v>1</v>
      </c>
      <c r="T116" s="20">
        <v>65</v>
      </c>
      <c r="X116" s="20">
        <v>2463.1578947368421</v>
      </c>
      <c r="Y116" s="20">
        <v>2218.5789473684208</v>
      </c>
      <c r="Z116" s="20">
        <v>153.26639692182678</v>
      </c>
      <c r="AA116" s="20">
        <v>86.55736842105263</v>
      </c>
      <c r="AB116" s="20">
        <v>86.55736842105263</v>
      </c>
      <c r="AC116" s="20">
        <v>100</v>
      </c>
      <c r="AD116" s="20">
        <v>3</v>
      </c>
      <c r="AE116" s="20">
        <v>140</v>
      </c>
    </row>
    <row r="117" spans="2:31" x14ac:dyDescent="0.25">
      <c r="C117" s="20">
        <v>1344.4444444444446</v>
      </c>
      <c r="D117" s="20">
        <v>1324.0686868686871</v>
      </c>
      <c r="E117" s="20">
        <v>121.79254950892675</v>
      </c>
      <c r="F117" s="20">
        <v>49.583090909090906</v>
      </c>
      <c r="G117" s="20">
        <v>49.583090909090906</v>
      </c>
      <c r="H117" s="20">
        <v>0</v>
      </c>
      <c r="I117" s="20">
        <v>101</v>
      </c>
      <c r="J117" s="20">
        <v>123.996</v>
      </c>
      <c r="M117" s="20">
        <v>1344.4444444444446</v>
      </c>
      <c r="N117" s="20">
        <v>1324.0686868686871</v>
      </c>
      <c r="O117" s="23">
        <v>93.287537284050359</v>
      </c>
      <c r="P117" s="20">
        <v>49.583090909090906</v>
      </c>
      <c r="Q117" s="20">
        <v>49.583090909090906</v>
      </c>
      <c r="R117" s="20">
        <v>72.68345607223165</v>
      </c>
      <c r="S117" s="20">
        <v>1</v>
      </c>
      <c r="T117" s="20">
        <v>65</v>
      </c>
      <c r="X117" s="20">
        <v>2489.4736842105262</v>
      </c>
      <c r="Y117" s="20">
        <v>2236.7368421052629</v>
      </c>
      <c r="Z117" s="20">
        <v>154.72817963878214</v>
      </c>
      <c r="AA117" s="20">
        <v>87.102105263157881</v>
      </c>
      <c r="AB117" s="20">
        <v>87.102105263157881</v>
      </c>
      <c r="AC117" s="20">
        <v>100</v>
      </c>
      <c r="AD117" s="20">
        <v>3</v>
      </c>
      <c r="AE117" s="20">
        <v>140</v>
      </c>
    </row>
    <row r="118" spans="2:31" x14ac:dyDescent="0.25">
      <c r="C118" s="20">
        <v>1466.6666666666667</v>
      </c>
      <c r="D118" s="20">
        <v>1433.848484848485</v>
      </c>
      <c r="E118" s="20">
        <v>123.42281466627222</v>
      </c>
      <c r="F118" s="20">
        <v>54.523181818181818</v>
      </c>
      <c r="G118" s="20">
        <v>54.523181818181818</v>
      </c>
      <c r="H118" s="20">
        <v>0</v>
      </c>
      <c r="I118" s="20">
        <v>101</v>
      </c>
      <c r="J118" s="20">
        <v>123.996</v>
      </c>
      <c r="M118" s="20">
        <v>1466.6666666666667</v>
      </c>
      <c r="N118" s="20">
        <v>1433.848484848485</v>
      </c>
      <c r="O118" s="23">
        <v>100.22051524029169</v>
      </c>
      <c r="P118" s="20">
        <v>54.523181818181818</v>
      </c>
      <c r="Q118" s="20">
        <v>54.523181818181818</v>
      </c>
      <c r="R118" s="20">
        <v>74.532308183646478</v>
      </c>
      <c r="S118" s="20">
        <v>1</v>
      </c>
      <c r="T118" s="20">
        <v>65</v>
      </c>
      <c r="X118" s="20">
        <v>2515.7894736842104</v>
      </c>
      <c r="Y118" s="20">
        <v>2254.894736842105</v>
      </c>
      <c r="Z118" s="20">
        <v>156.18998414231402</v>
      </c>
      <c r="AA118" s="20">
        <v>87.646842105263147</v>
      </c>
      <c r="AB118" s="20">
        <v>87.646842105263147</v>
      </c>
      <c r="AC118" s="20">
        <v>100</v>
      </c>
      <c r="AD118" s="20">
        <v>3</v>
      </c>
      <c r="AE118" s="20">
        <v>140</v>
      </c>
    </row>
    <row r="119" spans="2:31" x14ac:dyDescent="0.25">
      <c r="C119" s="20">
        <v>1588.8888888888889</v>
      </c>
      <c r="D119" s="20">
        <v>1540.7919191919193</v>
      </c>
      <c r="E119" s="20">
        <v>124.97174398076831</v>
      </c>
      <c r="F119" s="20">
        <v>59.335636363636368</v>
      </c>
      <c r="G119" s="20">
        <v>59.335636363636368</v>
      </c>
      <c r="H119" s="20">
        <v>0</v>
      </c>
      <c r="I119" s="20">
        <v>101</v>
      </c>
      <c r="J119" s="20">
        <v>123.996</v>
      </c>
      <c r="M119" s="20">
        <v>1588.8888888888889</v>
      </c>
      <c r="N119" s="20">
        <v>1540.7919191919193</v>
      </c>
      <c r="O119" s="23">
        <v>107.05022307654021</v>
      </c>
      <c r="P119" s="20">
        <v>59.335636363636368</v>
      </c>
      <c r="Q119" s="20">
        <v>59.335636363636368</v>
      </c>
      <c r="R119" s="20">
        <v>75.382965128625671</v>
      </c>
      <c r="S119" s="20">
        <v>1</v>
      </c>
      <c r="T119" s="20">
        <v>65</v>
      </c>
      <c r="X119" s="20">
        <v>2542.1052631578946</v>
      </c>
      <c r="Y119" s="20">
        <v>2273.0526315789471</v>
      </c>
      <c r="Z119" s="20">
        <v>157.65180317023018</v>
      </c>
      <c r="AA119" s="20">
        <v>88.191578947368413</v>
      </c>
      <c r="AB119" s="20">
        <v>88.191578947368413</v>
      </c>
      <c r="AC119" s="20">
        <v>100</v>
      </c>
      <c r="AD119" s="20">
        <v>3</v>
      </c>
      <c r="AE119" s="20">
        <v>140</v>
      </c>
    </row>
    <row r="120" spans="2:31" x14ac:dyDescent="0.25">
      <c r="C120" s="20">
        <v>1711.1111111111113</v>
      </c>
      <c r="D120" s="20">
        <v>1644.6808080808082</v>
      </c>
      <c r="E120" s="20">
        <v>126.44303130618836</v>
      </c>
      <c r="F120" s="20">
        <v>64.010636363636365</v>
      </c>
      <c r="G120" s="20">
        <v>64.010636363636365</v>
      </c>
      <c r="H120" s="20">
        <v>0</v>
      </c>
      <c r="I120" s="20">
        <v>101</v>
      </c>
      <c r="J120" s="20">
        <v>123.996</v>
      </c>
      <c r="M120" s="20">
        <v>1711.1111111111113</v>
      </c>
      <c r="N120" s="20">
        <v>1644.6808080808082</v>
      </c>
      <c r="O120" s="23">
        <v>113.72017805773513</v>
      </c>
      <c r="P120" s="20">
        <v>64.010636363636365</v>
      </c>
      <c r="Q120" s="20">
        <v>64.010636363636365</v>
      </c>
      <c r="R120" s="20">
        <v>75.856007647023986</v>
      </c>
      <c r="S120" s="20">
        <v>1</v>
      </c>
      <c r="T120" s="20">
        <v>65</v>
      </c>
      <c r="X120" s="20">
        <v>2568.4210526315787</v>
      </c>
      <c r="Y120" s="20">
        <v>2291.2105263157891</v>
      </c>
      <c r="Z120" s="20">
        <v>159.11363675360818</v>
      </c>
      <c r="AA120" s="20">
        <v>88.736315789473679</v>
      </c>
      <c r="AB120" s="20">
        <v>88.736315789473679</v>
      </c>
      <c r="AC120" s="20">
        <v>100</v>
      </c>
      <c r="AD120" s="20">
        <v>3</v>
      </c>
      <c r="AE120" s="20">
        <v>140</v>
      </c>
    </row>
    <row r="121" spans="2:31" x14ac:dyDescent="0.25">
      <c r="C121" s="20">
        <v>1833.3333333333335</v>
      </c>
      <c r="D121" s="20">
        <v>1745.5151515151517</v>
      </c>
      <c r="E121" s="20">
        <v>127.84123419058899</v>
      </c>
      <c r="F121" s="20">
        <v>68.548181818181831</v>
      </c>
      <c r="G121" s="20">
        <v>68.548181818181831</v>
      </c>
      <c r="H121" s="20">
        <v>0</v>
      </c>
      <c r="I121" s="20">
        <v>101</v>
      </c>
      <c r="J121" s="20">
        <v>123.996</v>
      </c>
      <c r="M121" s="20">
        <v>1833.3333333333335</v>
      </c>
      <c r="N121" s="20">
        <v>1745.5151515151517</v>
      </c>
      <c r="O121" s="23">
        <v>120.21523827570327</v>
      </c>
      <c r="P121" s="20">
        <v>68.548181818181831</v>
      </c>
      <c r="Q121" s="20">
        <v>68.548181818181831</v>
      </c>
      <c r="R121" s="20">
        <v>76.238147365862076</v>
      </c>
      <c r="S121" s="20">
        <v>1</v>
      </c>
      <c r="T121" s="20">
        <v>65</v>
      </c>
      <c r="X121" s="20">
        <v>2594.7368421052633</v>
      </c>
      <c r="Y121" s="20">
        <v>2309.3684210526317</v>
      </c>
      <c r="Z121" s="20">
        <v>160.57547657504125</v>
      </c>
      <c r="AA121" s="20">
        <v>89.281052631578959</v>
      </c>
      <c r="AB121" s="20">
        <v>89.281052631578959</v>
      </c>
      <c r="AC121" s="20">
        <v>100</v>
      </c>
      <c r="AD121" s="20">
        <v>3</v>
      </c>
      <c r="AE121" s="20">
        <v>140</v>
      </c>
    </row>
    <row r="122" spans="2:31" x14ac:dyDescent="0.25">
      <c r="C122" s="20">
        <v>1900</v>
      </c>
      <c r="D122" s="20">
        <v>1799.5636363636363</v>
      </c>
      <c r="E122" s="20">
        <v>128.57606696715689</v>
      </c>
      <c r="F122" s="20">
        <v>70.980363636363634</v>
      </c>
      <c r="G122" s="20">
        <v>70.980363636363634</v>
      </c>
      <c r="H122" s="20">
        <v>0</v>
      </c>
      <c r="I122" s="20">
        <v>101</v>
      </c>
      <c r="J122" s="20">
        <v>40</v>
      </c>
      <c r="M122" s="20">
        <v>1900</v>
      </c>
      <c r="N122" s="20">
        <v>1799.5636363636363</v>
      </c>
      <c r="O122" s="23">
        <v>123.68514356591815</v>
      </c>
      <c r="P122" s="20">
        <v>70.980363636363634</v>
      </c>
      <c r="Q122" s="20">
        <v>70.980363636363634</v>
      </c>
      <c r="R122" s="20">
        <v>73.246689427446015</v>
      </c>
      <c r="S122" s="20">
        <v>1</v>
      </c>
      <c r="T122" s="20">
        <v>51.234999999999999</v>
      </c>
      <c r="X122" s="20">
        <v>2621.0526315789475</v>
      </c>
      <c r="Y122" s="20">
        <v>2327.5263157894738</v>
      </c>
      <c r="Z122" s="20">
        <v>162.03732123588938</v>
      </c>
      <c r="AA122" s="20">
        <v>89.82578947368421</v>
      </c>
      <c r="AB122" s="20">
        <v>89.82578947368421</v>
      </c>
      <c r="AC122" s="20">
        <v>100</v>
      </c>
      <c r="AD122" s="20">
        <v>3</v>
      </c>
      <c r="AE122" s="20">
        <v>140</v>
      </c>
    </row>
    <row r="123" spans="2:31" x14ac:dyDescent="0.25">
      <c r="C123" s="20">
        <v>1955.5555555555557</v>
      </c>
      <c r="D123" s="20">
        <v>1843.5131313131315</v>
      </c>
      <c r="E123" s="20">
        <v>129.16845237928845</v>
      </c>
      <c r="F123" s="20">
        <v>72.958090909090913</v>
      </c>
      <c r="G123" s="20">
        <v>72.958090909090913</v>
      </c>
      <c r="H123" s="20">
        <v>0</v>
      </c>
      <c r="I123" s="20">
        <v>101</v>
      </c>
      <c r="J123" s="20">
        <v>40</v>
      </c>
      <c r="M123" s="20">
        <v>1955.5555555555557</v>
      </c>
      <c r="N123" s="20">
        <v>1843.5131313131315</v>
      </c>
      <c r="O123" s="23">
        <v>126.46695258025389</v>
      </c>
      <c r="P123" s="20">
        <v>72.958090909090913</v>
      </c>
      <c r="Q123" s="20">
        <v>72.958090909090913</v>
      </c>
      <c r="R123" s="20">
        <v>73.383950039902942</v>
      </c>
      <c r="S123" s="20">
        <v>1</v>
      </c>
      <c r="T123" s="20">
        <v>51.234999999999999</v>
      </c>
      <c r="X123" s="20">
        <v>2647.3684210526317</v>
      </c>
      <c r="Y123" s="20">
        <v>2345.6842105263158</v>
      </c>
      <c r="Z123" s="20">
        <v>163.49916710659124</v>
      </c>
      <c r="AA123" s="20">
        <v>90.370526315789476</v>
      </c>
      <c r="AB123" s="20">
        <v>90.370526315789476</v>
      </c>
      <c r="AC123" s="20">
        <v>100</v>
      </c>
      <c r="AD123" s="20">
        <v>3</v>
      </c>
      <c r="AE123" s="20">
        <v>140</v>
      </c>
    </row>
    <row r="124" spans="2:31" x14ac:dyDescent="0.25">
      <c r="C124" s="20">
        <v>2077.7777777777778</v>
      </c>
      <c r="D124" s="20">
        <v>1938.6747474747474</v>
      </c>
      <c r="E124" s="20">
        <v>130.42493260195988</v>
      </c>
      <c r="F124" s="20">
        <v>77.240363636363625</v>
      </c>
      <c r="G124" s="20">
        <v>77.240363636363625</v>
      </c>
      <c r="H124" s="20">
        <v>0</v>
      </c>
      <c r="I124" s="20">
        <v>101</v>
      </c>
      <c r="J124" s="20">
        <v>40</v>
      </c>
      <c r="M124" s="20">
        <v>2077.7777777777778</v>
      </c>
      <c r="N124" s="20">
        <v>1938.6747474747474</v>
      </c>
      <c r="O124" s="23">
        <v>132.4540454148561</v>
      </c>
      <c r="P124" s="20">
        <v>77.240363636363625</v>
      </c>
      <c r="Q124" s="20">
        <v>77.240363636363625</v>
      </c>
      <c r="R124" s="20">
        <v>73.651384059401167</v>
      </c>
      <c r="S124" s="20">
        <v>1</v>
      </c>
      <c r="T124" s="20">
        <v>51.234999999999999</v>
      </c>
      <c r="X124" s="20">
        <v>2673.6842105263158</v>
      </c>
      <c r="Y124" s="20">
        <v>2363.8421052631579</v>
      </c>
      <c r="Z124" s="20">
        <v>164.96100580178597</v>
      </c>
      <c r="AA124" s="20">
        <v>90.915263157894728</v>
      </c>
      <c r="AB124" s="20">
        <v>90.915263157894728</v>
      </c>
      <c r="AC124" s="20">
        <v>100</v>
      </c>
      <c r="AD124" s="20">
        <v>3</v>
      </c>
      <c r="AE124" s="20">
        <v>140</v>
      </c>
    </row>
    <row r="125" spans="2:31" x14ac:dyDescent="0.25">
      <c r="C125" s="20">
        <v>2200</v>
      </c>
      <c r="D125" s="20">
        <v>2031</v>
      </c>
      <c r="E125" s="20">
        <v>131.63592891634227</v>
      </c>
      <c r="F125" s="20">
        <v>80.930000000000007</v>
      </c>
      <c r="G125" s="20">
        <v>80.930000000000007</v>
      </c>
      <c r="H125" s="20">
        <v>0</v>
      </c>
      <c r="I125" s="20">
        <v>101</v>
      </c>
      <c r="J125" s="20">
        <v>140</v>
      </c>
      <c r="M125" s="20">
        <v>2200</v>
      </c>
      <c r="N125" s="20">
        <v>2031</v>
      </c>
      <c r="O125" s="23">
        <v>138.32844517662167</v>
      </c>
      <c r="P125" s="20">
        <v>80.930000000000007</v>
      </c>
      <c r="Q125" s="20">
        <v>80.930000000000007</v>
      </c>
      <c r="R125" s="20">
        <v>99.907922313912678</v>
      </c>
      <c r="S125" s="20">
        <v>3</v>
      </c>
      <c r="T125" s="20">
        <v>140</v>
      </c>
      <c r="X125" s="20">
        <v>2700</v>
      </c>
      <c r="Y125" s="20">
        <v>2382</v>
      </c>
      <c r="Z125" s="20">
        <v>166.42284369970213</v>
      </c>
      <c r="AA125" s="20">
        <v>91.46</v>
      </c>
      <c r="AB125" s="20">
        <v>91.46</v>
      </c>
      <c r="AC125" s="20">
        <v>100</v>
      </c>
      <c r="AD125" s="20">
        <v>3</v>
      </c>
      <c r="AE125" s="20">
        <v>140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131.63592891634227</v>
      </c>
      <c r="M128" t="s">
        <v>131</v>
      </c>
      <c r="N128" s="21">
        <f>O125</f>
        <v>138.32844517662167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cm="1">
        <f t="array" ref="C132:E133">[1]!GLV_q_gas_sm3day(d_GLV,PGLV_in,N128,gamma_gas_,t_GLV)</f>
        <v>0</v>
      </c>
      <c r="D132">
        <v>0</v>
      </c>
      <c r="E132" t="b">
        <v>0</v>
      </c>
      <c r="M132" t="s">
        <v>139</v>
      </c>
      <c r="N132" s="21">
        <f>O106</f>
        <v>30</v>
      </c>
      <c r="Y132" t="s">
        <v>140</v>
      </c>
    </row>
    <row r="133" spans="2:36" x14ac:dyDescent="0.25">
      <c r="C133" t="str">
        <v>q_gas_sm3day</v>
      </c>
      <c r="D133" t="str">
        <v>p_crit_atma</v>
      </c>
      <c r="E133" t="str">
        <v>critical flow</v>
      </c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{"gamma_gas":0.8,"gamma_oil":0.86,"gamma_wat":1.1,"rsb_m3m3":120,"pb_atma":120,"t_res_C":100,"bob_m3m3":1.2,"muob_cP":1,"PVT_corr_set":0,"q_liq_sm3day":55,"fw_perc":0,"q_gas_free_sm3day":5500}</v>
      </c>
    </row>
    <row r="135" spans="2:36" x14ac:dyDescent="0.25">
      <c r="Y135" s="14" t="s">
        <v>143</v>
      </c>
      <c r="Z135" s="15">
        <f>Pbuf_calc</f>
        <v>30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>
        <f>q_gas_GLV-Q_gas_free</f>
        <v>-5500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55</v>
      </c>
    </row>
    <row r="141" spans="2:36" x14ac:dyDescent="0.25">
      <c r="Y141" s="14" t="s">
        <v>103</v>
      </c>
      <c r="Z141" s="15">
        <f>f_sep</f>
        <v>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>
        <f t="array" ref="Z144:AJ145">[1]!MF_choke_p_atma(Z133,Z134,Z135,Z136,Z137,Z139,Z140,Z141,Z142,Z143)</f>
        <v>29.393999999999998</v>
      </c>
      <c r="AA144" s="16">
        <v>30</v>
      </c>
      <c r="AB144" s="16">
        <v>29.393999999999998</v>
      </c>
      <c r="AC144" s="16">
        <v>55</v>
      </c>
      <c r="AD144" s="16">
        <v>10</v>
      </c>
      <c r="AE144" s="16">
        <v>9.8469999999999995</v>
      </c>
      <c r="AF144" s="16">
        <v>1</v>
      </c>
      <c r="AG144" s="16">
        <v>139.506</v>
      </c>
      <c r="AH144" s="16">
        <v>153.10499999999999</v>
      </c>
      <c r="AI144" s="16">
        <v>19.012</v>
      </c>
      <c r="AJ144" s="16" t="str">
        <v>["set show_log=1 in param to show calc log"]</v>
      </c>
    </row>
    <row r="145" spans="25:36" x14ac:dyDescent="0.25">
      <c r="Z145" s="16" t="str">
        <v>p_out_atma</v>
      </c>
      <c r="AA145" s="16" t="str">
        <v>p_intake_atma</v>
      </c>
      <c r="AB145" s="16" t="str">
        <v>p_out_atma</v>
      </c>
      <c r="AC145" s="16" t="str">
        <v>q_liq_sm3day</v>
      </c>
      <c r="AD145" s="16" t="str">
        <v>t_choke_C</v>
      </c>
      <c r="AE145" s="16" t="str">
        <v>t_choke_throat_C</v>
      </c>
      <c r="AF145" s="16" t="str">
        <v>calibr_fr</v>
      </c>
      <c r="AG145" s="16" t="str">
        <v>sonic_vel_msec</v>
      </c>
      <c r="AH145" s="16" t="str">
        <v>q_liq_max_sm3day</v>
      </c>
      <c r="AI145" s="16" t="str">
        <v>p_crit_atma</v>
      </c>
      <c r="AJ145" s="16" t="str">
        <v>log</v>
      </c>
    </row>
    <row r="147" spans="25:36" x14ac:dyDescent="0.25">
      <c r="Y147" s="14" t="s">
        <v>148</v>
      </c>
    </row>
    <row r="148" spans="25:36" x14ac:dyDescent="0.25">
      <c r="Z148">
        <f>choke_p</f>
        <v>29.393999999999998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846B1-151B-4FEF-8B18-D4A8C4774431}">
  <sheetPr codeName="Лист4"/>
  <dimension ref="A9:AJ148"/>
  <sheetViews>
    <sheetView topLeftCell="A27" workbookViewId="0">
      <selection activeCell="C27" sqref="C27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9" spans="1:13" x14ac:dyDescent="0.25">
      <c r="M9" t="e" cm="1">
        <f t="array" aca="1" ref="M9" ca="1">gaslift_with_packer(gamma_oil_,gamma_gas_,gamma_wat_,Pb_,Rsb_,C17,C18,C29,,,C28)</f>
        <v>#NAME?</v>
      </c>
    </row>
    <row r="10" spans="1:13" x14ac:dyDescent="0.25">
      <c r="A10" s="13" t="s">
        <v>60</v>
      </c>
    </row>
    <row r="11" spans="1:13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13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13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13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13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13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22" x14ac:dyDescent="0.25">
      <c r="B24" t="s">
        <v>137</v>
      </c>
      <c r="C24" t="str" cm="1">
        <f t="array" ref="C24">[1]!encode_feed(Qliq,f_sep,,Q_gas_free,PVT_json)</f>
        <v>{"gamma_gas":0.8,"gamma_oil":0.86,"gamma_wat":1.1,"rsb_m3m3":120,"pb_atma":120,"t_res_C":100,"bob_m3m3":1.2,"muob_cP":1,"PVT_corr_set":0,"q_liq_sm3day":22.677,"fw_perc":10,"q_gas_free_sm3day":5500}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f>U29</f>
        <v>0.1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 t="e">
        <f>Pbuf_calc</f>
        <v>#VALUE!</v>
      </c>
      <c r="D33" s="8" t="s">
        <v>71</v>
      </c>
      <c r="F33" t="s">
        <v>150</v>
      </c>
      <c r="G33" t="e">
        <f>P_line_calc</f>
        <v>#VALUE!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0</v>
      </c>
      <c r="D34" s="8" t="s">
        <v>71</v>
      </c>
      <c r="F34" s="1" t="s">
        <v>151</v>
      </c>
      <c r="G34" s="24" t="e">
        <f>ABS(G33-P_wh)</f>
        <v>#VALUE!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3500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3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30" t="s">
        <v>92</v>
      </c>
      <c r="C53" s="30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 t="shared" ref="H56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" si="1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H57" s="4">
        <f t="shared" ref="H57" si="2">(Hperf-Hgas_inj)/npt+H56</f>
        <v>2330</v>
      </c>
      <c r="I57" s="4" cm="1">
        <f t="array" ref="I57">[1]!crv_interpolation($B$55:$B$71,$C$55:$C$71,H57)</f>
        <v>2125.3000000000002</v>
      </c>
      <c r="K57" s="4">
        <f t="shared" ref="K57" si="3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t="s">
        <v>107</v>
      </c>
      <c r="H58" s="4">
        <f t="shared" ref="H58" si="4">(Hperf-Hgas_inj)/npt+H57</f>
        <v>2395</v>
      </c>
      <c r="I58" s="4" cm="1">
        <f t="array" ref="I58">[1]!crv_interpolation($B$55:$B$71,$C$55:$C$71,H58)</f>
        <v>2171.4499999999998</v>
      </c>
      <c r="K58" s="4">
        <f t="shared" ref="K58" si="5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ref="H59" si="6">(Hperf-Hgas_inj)/npt+H58</f>
        <v>2460</v>
      </c>
      <c r="I59" s="4" cm="1">
        <f t="array" ref="I59">[1]!crv_interpolation($B$55:$B$71,$C$55:$C$71,H59)</f>
        <v>2216.4</v>
      </c>
      <c r="K59" s="4">
        <f t="shared" ref="K59" si="7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ref="H60" si="8">(Hperf-Hgas_inj)/npt+H59</f>
        <v>2525</v>
      </c>
      <c r="I60" s="4" cm="1">
        <f t="array" ref="I60">[1]!crv_interpolation($B$55:$B$71,$C$55:$C$71,H60)</f>
        <v>2261.25</v>
      </c>
      <c r="K60" s="4">
        <f t="shared" ref="K60" si="9">(Hgas_inj)/npt+K59</f>
        <v>550</v>
      </c>
      <c r="L60" s="4" cm="1">
        <f t="array" ref="L60">[1]!crv_interpolation($B$55:$B$71,$C$55:$C$71,K60)</f>
        <v>550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ref="H61" si="10">(Hperf-Hgas_inj)/npt+H60</f>
        <v>2590</v>
      </c>
      <c r="I61" s="4" cm="1">
        <f t="array" ref="I61">[1]!crv_interpolation($B$55:$B$71,$C$55:$C$71,H61)</f>
        <v>2306.1</v>
      </c>
      <c r="K61" s="4">
        <f t="shared" ref="K61" si="11">(Hgas_inj)/npt+K60</f>
        <v>660</v>
      </c>
      <c r="L61" s="4" cm="1">
        <f t="array" ref="L61">[1]!crv_interpolation($B$55:$B$71,$C$55:$C$71,K61)</f>
        <v>660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ref="H62" si="12">(Hperf-Hgas_inj)/npt+H61</f>
        <v>2655</v>
      </c>
      <c r="I62" s="4" cm="1">
        <f t="array" ref="I62">[1]!crv_interpolation($B$55:$B$71,$C$55:$C$71,H62)</f>
        <v>2350.9499999999998</v>
      </c>
      <c r="K62" s="4">
        <f t="shared" ref="K62" si="13">(Hgas_inj)/npt+K61</f>
        <v>770</v>
      </c>
      <c r="L62" s="4" cm="1">
        <f t="array" ref="L62">[1]!crv_interpolation($B$55:$B$71,$C$55:$C$71,K62)</f>
        <v>770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4">(Hperf-Hgas_inj)/npt+H62</f>
        <v>2720</v>
      </c>
      <c r="I63" s="4" cm="1">
        <f t="array" ref="I63">[1]!crv_interpolation($B$55:$B$71,$C$55:$C$71,H63)</f>
        <v>2395.8000000000002</v>
      </c>
      <c r="K63" s="4">
        <f t="shared" ref="K63" si="15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6">(Hperf-Hgas_inj)/npt+H63</f>
        <v>2785</v>
      </c>
      <c r="I64" s="4" cm="1">
        <f t="array" ref="I64">[1]!crv_interpolation($B$55:$B$71,$C$55:$C$71,H64)</f>
        <v>2440.65</v>
      </c>
      <c r="K64" s="4">
        <f t="shared" ref="K64" si="17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8">(Hperf-Hgas_inj)/npt+H64</f>
        <v>2850</v>
      </c>
      <c r="I65" s="4" cm="1">
        <f t="array" ref="I65">[1]!crv_interpolation($B$55:$B$71,$C$55:$C$71,H65)</f>
        <v>2485.5</v>
      </c>
      <c r="K65" s="4">
        <f t="shared" ref="K65" si="19">(Hgas_inj)/npt+K64</f>
        <v>1100</v>
      </c>
      <c r="L65" s="4" cm="1">
        <f t="array" ref="L65">[1]!crv_interpolation($B$55:$B$71,$C$55:$C$71,K65)</f>
        <v>1096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ref="H66" si="20">(Hperf-Hgas_inj)/npt+H65</f>
        <v>2915</v>
      </c>
      <c r="I66" s="4" cm="1">
        <f t="array" ref="I66">[1]!crv_interpolation($B$55:$B$71,$C$55:$C$71,H66)</f>
        <v>2530.35</v>
      </c>
      <c r="K66" s="4">
        <f t="shared" ref="K66" si="21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ref="H67" si="22">(Hperf-Hgas_inj)/npt+H66</f>
        <v>2980</v>
      </c>
      <c r="I67" s="4" cm="1">
        <f t="array" ref="I67">[1]!crv_interpolation($B$55:$B$71,$C$55:$C$71,H67)</f>
        <v>2575.1999999999998</v>
      </c>
      <c r="K67" s="4">
        <f t="shared" ref="K67" si="23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ref="H68" si="24">(Hperf-Hgas_inj)/npt+H67</f>
        <v>3045</v>
      </c>
      <c r="I68" s="4" cm="1">
        <f t="array" ref="I68">[1]!crv_interpolation($B$55:$B$71,$C$55:$C$71,H68)</f>
        <v>2620.0500000000002</v>
      </c>
      <c r="K68" s="4">
        <f t="shared" ref="K68" si="25">(Hgas_inj)/npt+K67</f>
        <v>1430</v>
      </c>
      <c r="L68" s="4" cm="1">
        <f t="array" ref="L68">[1]!crv_interpolation($B$55:$B$71,$C$55:$C$71,K68)</f>
        <v>1401.7</v>
      </c>
      <c r="N68" t="s">
        <v>165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ref="H69" si="26">(Hperf-Hgas_inj)/npt+H68</f>
        <v>3110</v>
      </c>
      <c r="I69" s="4" cm="1">
        <f t="array" ref="I69">[1]!crv_interpolation($B$55:$B$71,$C$55:$C$71,H69)</f>
        <v>2664.9</v>
      </c>
      <c r="K69" s="4">
        <f t="shared" ref="K69" si="27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8">(Hperf-Hgas_inj)/npt+H69</f>
        <v>3175</v>
      </c>
      <c r="I70" s="4" cm="1">
        <f t="array" ref="I70">[1]!crv_interpolation($B$55:$B$71,$C$55:$C$71,H70)</f>
        <v>2709.75</v>
      </c>
      <c r="K70" s="4">
        <f t="shared" ref="K70" si="29">(Hgas_inj)/npt+K69</f>
        <v>1650</v>
      </c>
      <c r="L70" s="4" cm="1">
        <f t="array" ref="L70">[1]!crv_interpolation($B$55:$B$71,$C$55:$C$71,K70)</f>
        <v>1593.5</v>
      </c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30">(Hperf-Hgas_inj)/npt+H70</f>
        <v>3240</v>
      </c>
      <c r="I71" s="4" cm="1">
        <f t="array" ref="I71">[1]!crv_interpolation($B$55:$B$71,$C$55:$C$71,H71)</f>
        <v>2754.6</v>
      </c>
      <c r="K71" s="4">
        <f t="shared" ref="K71" si="31">(Hgas_inj)/npt+K70</f>
        <v>1760</v>
      </c>
      <c r="L71" s="4" cm="1">
        <f t="array" ref="L71">[1]!crv_interpolation($B$55:$B$71,$C$55:$C$71,K71)</f>
        <v>1685.8</v>
      </c>
      <c r="T71">
        <v>200</v>
      </c>
      <c r="U71">
        <v>450</v>
      </c>
      <c r="V71">
        <v>139</v>
      </c>
    </row>
    <row r="72" spans="2:22" x14ac:dyDescent="0.25">
      <c r="H72" s="4">
        <f t="shared" ref="H72" si="32">(Hperf-Hgas_inj)/npt+H71</f>
        <v>3305</v>
      </c>
      <c r="I72" s="4" cm="1">
        <f t="array" ref="I72">[1]!crv_interpolation($B$55:$B$71,$C$55:$C$71,H72)</f>
        <v>2799.45</v>
      </c>
      <c r="K72" s="4">
        <f t="shared" ref="K72" si="33">(Hgas_inj)/npt+K71</f>
        <v>1870</v>
      </c>
      <c r="L72" s="4" cm="1">
        <f t="array" ref="L72">[1]!crv_interpolation($B$55:$B$71,$C$55:$C$71,K72)</f>
        <v>1775.7</v>
      </c>
      <c r="T72">
        <v>200</v>
      </c>
      <c r="U72">
        <v>500</v>
      </c>
      <c r="V72">
        <v>140</v>
      </c>
    </row>
    <row r="73" spans="2:22" x14ac:dyDescent="0.25">
      <c r="H73" s="4">
        <f t="shared" ref="H73" si="34">(Hperf-Hgas_inj)/npt+H72</f>
        <v>3370</v>
      </c>
      <c r="I73" s="4" cm="1">
        <f t="array" ref="I73">[1]!crv_interpolation($B$55:$B$71,$C$55:$C$71,H73)</f>
        <v>2844.2999999999997</v>
      </c>
      <c r="K73" s="4">
        <f t="shared" ref="K73" si="35">(Hgas_inj)/npt+K72</f>
        <v>1980</v>
      </c>
      <c r="L73" s="4" cm="1">
        <f t="array" ref="L73">[1]!crv_interpolation($B$55:$B$71,$C$55:$C$71,K73)</f>
        <v>1863.2</v>
      </c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6">(Hperf-Hgas_inj)/npt+H73</f>
        <v>3435</v>
      </c>
      <c r="I74" s="4" cm="1">
        <f t="array" ref="I74">[1]!crv_interpolation($B$55:$B$71,$C$55:$C$71,H74)</f>
        <v>2889.15</v>
      </c>
      <c r="K74" s="4">
        <f t="shared" ref="K74" si="37">(Hgas_inj)/npt+K73</f>
        <v>2090</v>
      </c>
      <c r="L74" s="4" cm="1">
        <f t="array" ref="L74">[1]!crv_interpolation($B$55:$B$71,$C$55:$C$71,K74)</f>
        <v>1948.3</v>
      </c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8">(Hperf-Hgas_inj)/npt+H74</f>
        <v>3500</v>
      </c>
      <c r="I75" s="4" cm="1">
        <f t="array" ref="I75">[1]!crv_interpolation($B$55:$B$71,$C$55:$C$71,H75)</f>
        <v>2934</v>
      </c>
      <c r="K75" s="4">
        <f t="shared" ref="K75" si="39">(Hgas_inj)/npt+K74</f>
        <v>2200</v>
      </c>
      <c r="L75" s="4" cm="1">
        <f t="array" ref="L75">[1]!crv_interpolation($B$55:$B$71,$C$55:$C$71,K75)</f>
        <v>2031</v>
      </c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[1]!GLV_p_atma(dchoke_cas,Pgas_line,Q_gas_free,gamma_gas_,T_wh,0,,calibr_gas)</f>
        <v>0</v>
      </c>
      <c r="D89" s="18">
        <v>0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pcas_calc</f>
        <v>0</v>
      </c>
      <c r="M93" s="14" t="s">
        <v>114</v>
      </c>
      <c r="N93" s="22">
        <f>P_wh</f>
        <v>30</v>
      </c>
      <c r="X93" s="14" t="s">
        <v>114</v>
      </c>
      <c r="Y93" s="15">
        <f>P_GLV_out</f>
        <v>100.63205860462516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15">
        <f>t_GLV</f>
        <v>80.930000000000007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{"gamma_gas":0.8,"gamma_oil":0.86,"gamma_wat":1.1,"rsb_m3m3":120,"pb_atma":120,"t_res_C":100,"bob_m3m3":1.2,"muob_cP":1,"PVT_corr_set":0,"q_liq_sm3day":22.677,"fw_perc":10,"q_gas_free_sm3day":5500}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{"gamma_gas":0.8,"gamma_oil":0.86,"gamma_wat":1.1,"rsb_m3m3":120,"pb_atma":120,"t_res_C":100,"bob_m3m3":1.2,"muob_cP":1,"PVT_corr_set":0,"q_liq_sm3day":22.677,"fw_perc":10}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22.677059528733164</v>
      </c>
      <c r="X99" s="14" t="s">
        <v>102</v>
      </c>
      <c r="Y99" s="15">
        <f>Qliq</f>
        <v>22.677059528733164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10</v>
      </c>
      <c r="X100" s="14" t="s">
        <v>103</v>
      </c>
      <c r="Y100" s="15">
        <f>f_sep</f>
        <v>10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11, D98, D99, D100, D101, D102)</f>
        <v>0</v>
      </c>
      <c r="D103" s="20">
        <v>0</v>
      </c>
      <c r="E103" s="20">
        <v>10</v>
      </c>
      <c r="F103" s="20">
        <v>0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[1]!MF_pipe_p_atma(N93, N94, N95, N96, N97, N98, N99, N100, N101, N102)</f>
        <v>119.372</v>
      </c>
      <c r="N103" s="20">
        <v>30</v>
      </c>
      <c r="O103" s="20">
        <v>10</v>
      </c>
      <c r="P103" s="20">
        <v>119.372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174.64599999999999</v>
      </c>
      <c r="Y103" s="20">
        <v>100.63200000000001</v>
      </c>
      <c r="Z103" s="20">
        <v>80.930000000000007</v>
      </c>
      <c r="AA103" s="20">
        <v>174.64599999999999</v>
      </c>
      <c r="AB103" s="20">
        <v>108.02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0</v>
      </c>
      <c r="F106" s="20">
        <v>10</v>
      </c>
      <c r="G106" s="20">
        <v>10</v>
      </c>
      <c r="H106" s="20">
        <v>0</v>
      </c>
      <c r="I106" s="20">
        <v>0</v>
      </c>
      <c r="J106" s="20">
        <v>116.619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27.455226928762062</v>
      </c>
      <c r="S106" s="20">
        <v>1</v>
      </c>
      <c r="T106" s="20">
        <v>45</v>
      </c>
      <c r="X106" s="20">
        <v>2200</v>
      </c>
      <c r="Y106" s="20">
        <v>2031</v>
      </c>
      <c r="Z106" s="20">
        <v>100.63205860462516</v>
      </c>
      <c r="AA106" s="20">
        <v>80.930000000000007</v>
      </c>
      <c r="AB106" s="20">
        <v>80.930000000000007</v>
      </c>
      <c r="AC106" s="20">
        <v>100</v>
      </c>
      <c r="AD106" s="20">
        <v>0</v>
      </c>
      <c r="AE106" s="20">
        <v>125</v>
      </c>
    </row>
    <row r="107" spans="3:31" x14ac:dyDescent="0.25">
      <c r="C107" s="20">
        <v>122.22222222222223</v>
      </c>
      <c r="D107" s="20">
        <v>122.22222222222223</v>
      </c>
      <c r="E107" s="20">
        <v>0</v>
      </c>
      <c r="F107" s="20">
        <v>13.055555555555555</v>
      </c>
      <c r="G107" s="20">
        <v>13.055555555555555</v>
      </c>
      <c r="H107" s="20">
        <v>0</v>
      </c>
      <c r="I107" s="20">
        <v>0</v>
      </c>
      <c r="J107" s="20">
        <v>116.619</v>
      </c>
      <c r="M107" s="20">
        <v>115.78947368421052</v>
      </c>
      <c r="N107" s="20">
        <v>115.78947368421052</v>
      </c>
      <c r="O107" s="23">
        <v>33.38923217599126</v>
      </c>
      <c r="P107" s="20">
        <v>12.894736842105264</v>
      </c>
      <c r="Q107" s="20">
        <v>12.894736842105264</v>
      </c>
      <c r="R107" s="20">
        <v>29.333085979521645</v>
      </c>
      <c r="S107" s="20">
        <v>1</v>
      </c>
      <c r="T107" s="20">
        <v>45</v>
      </c>
      <c r="X107" s="20">
        <v>2268.4210526315787</v>
      </c>
      <c r="Y107" s="20">
        <v>2080.7263157894736</v>
      </c>
      <c r="Z107" s="20">
        <v>104.72089655597185</v>
      </c>
      <c r="AA107" s="20">
        <v>82.421789473684214</v>
      </c>
      <c r="AB107" s="20">
        <v>82.421789473684214</v>
      </c>
      <c r="AC107" s="20">
        <v>100</v>
      </c>
      <c r="AD107" s="20">
        <v>0</v>
      </c>
      <c r="AE107" s="20">
        <v>125</v>
      </c>
    </row>
    <row r="108" spans="3:31" x14ac:dyDescent="0.25">
      <c r="C108" s="20">
        <v>244.44444444444446</v>
      </c>
      <c r="D108" s="20">
        <v>244.44444444444446</v>
      </c>
      <c r="E108" s="20">
        <v>0</v>
      </c>
      <c r="F108" s="20">
        <v>16.111111111111111</v>
      </c>
      <c r="G108" s="20">
        <v>16.111111111111111</v>
      </c>
      <c r="H108" s="20">
        <v>0</v>
      </c>
      <c r="I108" s="20">
        <v>0</v>
      </c>
      <c r="J108" s="20">
        <v>116.619</v>
      </c>
      <c r="M108" s="20">
        <v>231.57894736842104</v>
      </c>
      <c r="N108" s="20">
        <v>231.57894736842104</v>
      </c>
      <c r="O108" s="23">
        <v>36.958394269947334</v>
      </c>
      <c r="P108" s="20">
        <v>15.789473684210526</v>
      </c>
      <c r="Q108" s="20">
        <v>15.789473684210526</v>
      </c>
      <c r="R108" s="20">
        <v>31.243247146493118</v>
      </c>
      <c r="S108" s="20">
        <v>1</v>
      </c>
      <c r="T108" s="20">
        <v>45</v>
      </c>
      <c r="X108" s="20">
        <v>2336.8421052631579</v>
      </c>
      <c r="Y108" s="20">
        <v>2129.9198380566804</v>
      </c>
      <c r="Z108" s="20">
        <v>108.75567766557874</v>
      </c>
      <c r="AA108" s="20">
        <v>83.897595141700407</v>
      </c>
      <c r="AB108" s="20">
        <v>83.897595141700407</v>
      </c>
      <c r="AC108" s="20">
        <v>100</v>
      </c>
      <c r="AD108" s="20">
        <v>0</v>
      </c>
      <c r="AE108" s="20">
        <v>125</v>
      </c>
    </row>
    <row r="109" spans="3:31" x14ac:dyDescent="0.25">
      <c r="C109" s="20">
        <v>366.66666666666669</v>
      </c>
      <c r="D109" s="20">
        <v>366.66666666666669</v>
      </c>
      <c r="E109" s="20">
        <v>0</v>
      </c>
      <c r="F109" s="20">
        <v>19.166666666666668</v>
      </c>
      <c r="G109" s="20">
        <v>19.166666666666668</v>
      </c>
      <c r="H109" s="20">
        <v>0</v>
      </c>
      <c r="I109" s="20">
        <v>0</v>
      </c>
      <c r="J109" s="20">
        <v>116.619</v>
      </c>
      <c r="M109" s="20">
        <v>347.36842105263156</v>
      </c>
      <c r="N109" s="20">
        <v>347.36842105263156</v>
      </c>
      <c r="O109" s="23">
        <v>40.710072321408077</v>
      </c>
      <c r="P109" s="20">
        <v>18.684210526315788</v>
      </c>
      <c r="Q109" s="20">
        <v>18.684210526315788</v>
      </c>
      <c r="R109" s="20">
        <v>33.177098079560274</v>
      </c>
      <c r="S109" s="20">
        <v>1</v>
      </c>
      <c r="T109" s="20">
        <v>45</v>
      </c>
      <c r="X109" s="20">
        <v>2405.2631578947367</v>
      </c>
      <c r="Y109" s="20">
        <v>2178.5441295546557</v>
      </c>
      <c r="Z109" s="20">
        <v>112.68977553081633</v>
      </c>
      <c r="AA109" s="20">
        <v>85.356323886639672</v>
      </c>
      <c r="AB109" s="20">
        <v>85.356323886639672</v>
      </c>
      <c r="AC109" s="20">
        <v>100</v>
      </c>
      <c r="AD109" s="20">
        <v>0</v>
      </c>
      <c r="AE109" s="20">
        <v>125</v>
      </c>
    </row>
    <row r="110" spans="3:31" x14ac:dyDescent="0.25">
      <c r="C110" s="20">
        <v>488.88888888888891</v>
      </c>
      <c r="D110" s="20">
        <v>488.88888888888891</v>
      </c>
      <c r="E110" s="20">
        <v>0</v>
      </c>
      <c r="F110" s="20">
        <v>22.222222222222221</v>
      </c>
      <c r="G110" s="20">
        <v>22.222222222222221</v>
      </c>
      <c r="H110" s="20">
        <v>0</v>
      </c>
      <c r="I110" s="20">
        <v>0</v>
      </c>
      <c r="J110" s="20">
        <v>116.619</v>
      </c>
      <c r="M110" s="20">
        <v>463.15789473684208</v>
      </c>
      <c r="N110" s="20">
        <v>463.15789473684208</v>
      </c>
      <c r="O110" s="23">
        <v>44.645403123059573</v>
      </c>
      <c r="P110" s="20">
        <v>21.578947368421051</v>
      </c>
      <c r="Q110" s="20">
        <v>21.578947368421051</v>
      </c>
      <c r="R110" s="20">
        <v>35.082122879741611</v>
      </c>
      <c r="S110" s="20">
        <v>1</v>
      </c>
      <c r="T110" s="20">
        <v>45</v>
      </c>
      <c r="X110" s="20">
        <v>2473.6842105263158</v>
      </c>
      <c r="Y110" s="20">
        <v>2225.8178137651821</v>
      </c>
      <c r="Z110" s="20">
        <v>116.5617473714976</v>
      </c>
      <c r="AA110" s="20">
        <v>86.774534412955461</v>
      </c>
      <c r="AB110" s="20">
        <v>86.774534412955461</v>
      </c>
      <c r="AC110" s="20">
        <v>100</v>
      </c>
      <c r="AD110" s="20">
        <v>0</v>
      </c>
      <c r="AE110" s="20">
        <v>125</v>
      </c>
    </row>
    <row r="111" spans="3:31" x14ac:dyDescent="0.25">
      <c r="C111" s="20">
        <v>611.11111111111109</v>
      </c>
      <c r="D111" s="20">
        <v>611.11111111111109</v>
      </c>
      <c r="E111" s="20">
        <v>0</v>
      </c>
      <c r="F111" s="20">
        <v>25.277777777777779</v>
      </c>
      <c r="G111" s="20">
        <v>25.277777777777779</v>
      </c>
      <c r="H111" s="20">
        <v>0</v>
      </c>
      <c r="I111" s="20">
        <v>0</v>
      </c>
      <c r="J111" s="20">
        <v>116.619</v>
      </c>
      <c r="M111" s="20">
        <v>578.9473684210526</v>
      </c>
      <c r="N111" s="20">
        <v>578.9473684210526</v>
      </c>
      <c r="O111" s="23">
        <v>48.765080454834987</v>
      </c>
      <c r="P111" s="20">
        <v>24.473684210526315</v>
      </c>
      <c r="Q111" s="20">
        <v>24.473684210526315</v>
      </c>
      <c r="R111" s="20">
        <v>37.031471150481543</v>
      </c>
      <c r="S111" s="20">
        <v>1</v>
      </c>
      <c r="T111" s="20">
        <v>45</v>
      </c>
      <c r="X111" s="20">
        <v>2542.1052631578946</v>
      </c>
      <c r="Y111" s="20">
        <v>2273.0526315789471</v>
      </c>
      <c r="Z111" s="20">
        <v>120.43032216164569</v>
      </c>
      <c r="AA111" s="20">
        <v>88.191578947368413</v>
      </c>
      <c r="AB111" s="20">
        <v>88.191578947368413</v>
      </c>
      <c r="AC111" s="20">
        <v>100</v>
      </c>
      <c r="AD111" s="20">
        <v>0</v>
      </c>
      <c r="AE111" s="20">
        <v>125</v>
      </c>
    </row>
    <row r="112" spans="3:31" x14ac:dyDescent="0.25">
      <c r="C112" s="20">
        <v>733.33333333333337</v>
      </c>
      <c r="D112" s="20">
        <v>733.33333333333337</v>
      </c>
      <c r="E112" s="20">
        <v>0</v>
      </c>
      <c r="F112" s="20">
        <v>28.333333333333336</v>
      </c>
      <c r="G112" s="20">
        <v>28.333333333333336</v>
      </c>
      <c r="H112" s="20">
        <v>0</v>
      </c>
      <c r="I112" s="20">
        <v>0</v>
      </c>
      <c r="J112" s="20">
        <v>116.619</v>
      </c>
      <c r="M112" s="20">
        <v>694.73684210526312</v>
      </c>
      <c r="N112" s="20">
        <v>694.73684210526312</v>
      </c>
      <c r="O112" s="23">
        <v>53.073279101260162</v>
      </c>
      <c r="P112" s="20">
        <v>27.368421052631579</v>
      </c>
      <c r="Q112" s="20">
        <v>27.368421052631579</v>
      </c>
      <c r="R112" s="20">
        <v>38.986372383345014</v>
      </c>
      <c r="S112" s="20">
        <v>1</v>
      </c>
      <c r="T112" s="20">
        <v>45</v>
      </c>
      <c r="X112" s="20">
        <v>2610.5263157894738</v>
      </c>
      <c r="Y112" s="20">
        <v>2320.2631578947371</v>
      </c>
      <c r="Z112" s="20">
        <v>124.29936242808773</v>
      </c>
      <c r="AA112" s="20">
        <v>89.607894736842113</v>
      </c>
      <c r="AB112" s="20">
        <v>89.607894736842113</v>
      </c>
      <c r="AC112" s="20">
        <v>100</v>
      </c>
      <c r="AD112" s="20">
        <v>0</v>
      </c>
      <c r="AE112" s="20">
        <v>125</v>
      </c>
    </row>
    <row r="113" spans="2:31" x14ac:dyDescent="0.25">
      <c r="C113" s="20">
        <v>855.55555555555566</v>
      </c>
      <c r="D113" s="20">
        <v>855.55555555555566</v>
      </c>
      <c r="E113" s="20">
        <v>0</v>
      </c>
      <c r="F113" s="20">
        <v>31.388888888888893</v>
      </c>
      <c r="G113" s="20">
        <v>31.388888888888893</v>
      </c>
      <c r="H113" s="20">
        <v>0</v>
      </c>
      <c r="I113" s="20">
        <v>0</v>
      </c>
      <c r="J113" s="20">
        <v>116.619</v>
      </c>
      <c r="M113" s="20">
        <v>810.52631578947364</v>
      </c>
      <c r="N113" s="20">
        <v>810.52631578947364</v>
      </c>
      <c r="O113" s="23">
        <v>57.579707860346673</v>
      </c>
      <c r="P113" s="20">
        <v>30.263157894736842</v>
      </c>
      <c r="Q113" s="20">
        <v>30.263157894736842</v>
      </c>
      <c r="R113" s="20">
        <v>40.938149394478948</v>
      </c>
      <c r="S113" s="20">
        <v>1</v>
      </c>
      <c r="T113" s="20">
        <v>45</v>
      </c>
      <c r="X113" s="20">
        <v>2678.9473684210525</v>
      </c>
      <c r="Y113" s="20">
        <v>2367.4736842105262</v>
      </c>
      <c r="Z113" s="20">
        <v>128.16948088623198</v>
      </c>
      <c r="AA113" s="20">
        <v>91.024210526315784</v>
      </c>
      <c r="AB113" s="20">
        <v>91.024210526315784</v>
      </c>
      <c r="AC113" s="20">
        <v>100</v>
      </c>
      <c r="AD113" s="20">
        <v>0</v>
      </c>
      <c r="AE113" s="20">
        <v>125</v>
      </c>
    </row>
    <row r="114" spans="2:31" x14ac:dyDescent="0.25">
      <c r="C114" s="20">
        <v>977.77777777777783</v>
      </c>
      <c r="D114" s="20">
        <v>977.49494949494954</v>
      </c>
      <c r="E114" s="20">
        <v>0</v>
      </c>
      <c r="F114" s="20">
        <v>34.43737373737374</v>
      </c>
      <c r="G114" s="20">
        <v>34.43737373737374</v>
      </c>
      <c r="H114" s="20">
        <v>0</v>
      </c>
      <c r="I114" s="20">
        <v>0</v>
      </c>
      <c r="J114" s="20">
        <v>116.619</v>
      </c>
      <c r="M114" s="20">
        <v>926.31578947368416</v>
      </c>
      <c r="N114" s="20">
        <v>926.22009569377985</v>
      </c>
      <c r="O114" s="23">
        <v>62.306837698178498</v>
      </c>
      <c r="P114" s="20">
        <v>33.155502392344502</v>
      </c>
      <c r="Q114" s="20">
        <v>33.155502392344502</v>
      </c>
      <c r="R114" s="20">
        <v>44.523958017966784</v>
      </c>
      <c r="S114" s="20">
        <v>1</v>
      </c>
      <c r="T114" s="20">
        <v>45</v>
      </c>
      <c r="X114" s="20">
        <v>2747.3684210526317</v>
      </c>
      <c r="Y114" s="20">
        <v>2414.6842105263158</v>
      </c>
      <c r="Z114" s="20">
        <v>132.0404417285427</v>
      </c>
      <c r="AA114" s="20">
        <v>92.440526315789484</v>
      </c>
      <c r="AB114" s="20">
        <v>92.440526315789484</v>
      </c>
      <c r="AC114" s="20">
        <v>100</v>
      </c>
      <c r="AD114" s="20">
        <v>0</v>
      </c>
      <c r="AE114" s="20">
        <v>125</v>
      </c>
    </row>
    <row r="115" spans="2:31" x14ac:dyDescent="0.25">
      <c r="C115" s="20">
        <v>1100</v>
      </c>
      <c r="D115" s="20">
        <v>1096</v>
      </c>
      <c r="E115" s="20">
        <v>0</v>
      </c>
      <c r="F115" s="20">
        <v>39.32</v>
      </c>
      <c r="G115" s="20">
        <v>39.32</v>
      </c>
      <c r="H115" s="20">
        <v>0</v>
      </c>
      <c r="I115" s="20">
        <v>0</v>
      </c>
      <c r="J115" s="20">
        <v>116.619</v>
      </c>
      <c r="M115" s="20">
        <v>1042.1052631578946</v>
      </c>
      <c r="N115" s="20">
        <v>1040.2105263157894</v>
      </c>
      <c r="O115" s="23">
        <v>67.390828657517901</v>
      </c>
      <c r="P115" s="20">
        <v>36.810622009569371</v>
      </c>
      <c r="Q115" s="20">
        <v>36.810622009569371</v>
      </c>
      <c r="R115" s="20">
        <v>49.864420348049812</v>
      </c>
      <c r="S115" s="20">
        <v>1</v>
      </c>
      <c r="T115" s="20">
        <v>45</v>
      </c>
      <c r="X115" s="20">
        <v>2815.7894736842104</v>
      </c>
      <c r="Y115" s="20">
        <v>2461.894736842105</v>
      </c>
      <c r="Z115" s="20">
        <v>135.91223113164355</v>
      </c>
      <c r="AA115" s="20">
        <v>93.856842105263155</v>
      </c>
      <c r="AB115" s="20">
        <v>93.856842105263155</v>
      </c>
      <c r="AC115" s="20">
        <v>100</v>
      </c>
      <c r="AD115" s="20">
        <v>0</v>
      </c>
      <c r="AE115" s="20">
        <v>125</v>
      </c>
    </row>
    <row r="116" spans="2:31" x14ac:dyDescent="0.25">
      <c r="C116" s="20">
        <v>1222.2222222222222</v>
      </c>
      <c r="D116" s="20">
        <v>1211.4525252525252</v>
      </c>
      <c r="E116" s="20">
        <v>0</v>
      </c>
      <c r="F116" s="20">
        <v>44.515363636363631</v>
      </c>
      <c r="G116" s="20">
        <v>44.515363636363631</v>
      </c>
      <c r="H116" s="20">
        <v>0</v>
      </c>
      <c r="I116" s="20">
        <v>0</v>
      </c>
      <c r="J116" s="20">
        <v>116.619</v>
      </c>
      <c r="M116" s="20">
        <v>1157.8947368421052</v>
      </c>
      <c r="N116" s="20">
        <v>1150.8947368421052</v>
      </c>
      <c r="O116" s="23">
        <v>72.623791391685955</v>
      </c>
      <c r="P116" s="20">
        <v>41.790263157894735</v>
      </c>
      <c r="Q116" s="20">
        <v>41.790263157894735</v>
      </c>
      <c r="R116" s="20">
        <v>51.840941624793317</v>
      </c>
      <c r="S116" s="20">
        <v>1</v>
      </c>
      <c r="T116" s="20">
        <v>45</v>
      </c>
      <c r="X116" s="20">
        <v>2884.2105263157896</v>
      </c>
      <c r="Y116" s="20">
        <v>2509.105263157895</v>
      </c>
      <c r="Z116" s="20">
        <v>139.7846087462591</v>
      </c>
      <c r="AA116" s="20">
        <v>95.27315789473684</v>
      </c>
      <c r="AB116" s="20">
        <v>95.27315789473684</v>
      </c>
      <c r="AC116" s="20">
        <v>100</v>
      </c>
      <c r="AD116" s="20">
        <v>0</v>
      </c>
      <c r="AE116" s="20">
        <v>125</v>
      </c>
    </row>
    <row r="117" spans="2:31" x14ac:dyDescent="0.25">
      <c r="C117" s="20">
        <v>1344.4444444444446</v>
      </c>
      <c r="D117" s="20">
        <v>1324.0686868686871</v>
      </c>
      <c r="E117" s="20">
        <v>0</v>
      </c>
      <c r="F117" s="20">
        <v>49.583090909090906</v>
      </c>
      <c r="G117" s="20">
        <v>49.583090909090906</v>
      </c>
      <c r="H117" s="20">
        <v>0</v>
      </c>
      <c r="I117" s="20">
        <v>0</v>
      </c>
      <c r="J117" s="20">
        <v>116.619</v>
      </c>
      <c r="M117" s="20">
        <v>1273.6842105263158</v>
      </c>
      <c r="N117" s="20">
        <v>1259.2373205741628</v>
      </c>
      <c r="O117" s="23">
        <v>77.973439783943732</v>
      </c>
      <c r="P117" s="20">
        <v>46.665679425837325</v>
      </c>
      <c r="Q117" s="20">
        <v>46.665679425837325</v>
      </c>
      <c r="R117" s="20">
        <v>53.784656297242925</v>
      </c>
      <c r="S117" s="20">
        <v>1</v>
      </c>
      <c r="T117" s="20">
        <v>45</v>
      </c>
      <c r="X117" s="20">
        <v>2952.6315789473683</v>
      </c>
      <c r="Y117" s="20">
        <v>2556.3157894736842</v>
      </c>
      <c r="Z117" s="20">
        <v>143.657460750784</v>
      </c>
      <c r="AA117" s="20">
        <v>96.689473684210512</v>
      </c>
      <c r="AB117" s="20">
        <v>96.689473684210512</v>
      </c>
      <c r="AC117" s="20">
        <v>100</v>
      </c>
      <c r="AD117" s="20">
        <v>0</v>
      </c>
      <c r="AE117" s="20">
        <v>125</v>
      </c>
    </row>
    <row r="118" spans="2:31" x14ac:dyDescent="0.25">
      <c r="C118" s="20">
        <v>1466.6666666666667</v>
      </c>
      <c r="D118" s="20">
        <v>1433.848484848485</v>
      </c>
      <c r="E118" s="20">
        <v>0</v>
      </c>
      <c r="F118" s="20">
        <v>54.523181818181818</v>
      </c>
      <c r="G118" s="20">
        <v>54.523181818181818</v>
      </c>
      <c r="H118" s="20">
        <v>0</v>
      </c>
      <c r="I118" s="20">
        <v>0</v>
      </c>
      <c r="J118" s="20">
        <v>116.619</v>
      </c>
      <c r="M118" s="20">
        <v>1389.4736842105262</v>
      </c>
      <c r="N118" s="20">
        <v>1364.9961722488038</v>
      </c>
      <c r="O118" s="23">
        <v>83.349836129993605</v>
      </c>
      <c r="P118" s="20">
        <v>51.424827751196169</v>
      </c>
      <c r="Q118" s="20">
        <v>51.424827751196169</v>
      </c>
      <c r="R118" s="20">
        <v>55.585896514644709</v>
      </c>
      <c r="S118" s="20">
        <v>1</v>
      </c>
      <c r="T118" s="20">
        <v>45</v>
      </c>
      <c r="X118" s="20">
        <v>3021.0526315789475</v>
      </c>
      <c r="Y118" s="20">
        <v>2603.5263157894738</v>
      </c>
      <c r="Z118" s="20">
        <v>147.53072611701947</v>
      </c>
      <c r="AA118" s="20">
        <v>98.105789473684212</v>
      </c>
      <c r="AB118" s="20">
        <v>98.105789473684212</v>
      </c>
      <c r="AC118" s="20">
        <v>100</v>
      </c>
      <c r="AD118" s="20">
        <v>0</v>
      </c>
      <c r="AE118" s="20">
        <v>125</v>
      </c>
    </row>
    <row r="119" spans="2:31" x14ac:dyDescent="0.25">
      <c r="C119" s="20">
        <v>1588.8888888888889</v>
      </c>
      <c r="D119" s="20">
        <v>1540.7919191919193</v>
      </c>
      <c r="E119" s="20">
        <v>0</v>
      </c>
      <c r="F119" s="20">
        <v>59.335636363636368</v>
      </c>
      <c r="G119" s="20">
        <v>59.335636363636368</v>
      </c>
      <c r="H119" s="20">
        <v>0</v>
      </c>
      <c r="I119" s="20">
        <v>0</v>
      </c>
      <c r="J119" s="20">
        <v>116.619</v>
      </c>
      <c r="M119" s="20">
        <v>1505.2631578947367</v>
      </c>
      <c r="N119" s="20">
        <v>1468.0679425837318</v>
      </c>
      <c r="O119" s="23">
        <v>88.70922265068485</v>
      </c>
      <c r="P119" s="20">
        <v>56.063057416267938</v>
      </c>
      <c r="Q119" s="20">
        <v>56.063057416267938</v>
      </c>
      <c r="R119" s="20">
        <v>57.120572009013536</v>
      </c>
      <c r="S119" s="20">
        <v>1</v>
      </c>
      <c r="T119" s="20">
        <v>45</v>
      </c>
      <c r="X119" s="20">
        <v>3089.4736842105262</v>
      </c>
      <c r="Y119" s="20">
        <v>2650.7368421052629</v>
      </c>
      <c r="Z119" s="20">
        <v>151.40423875127513</v>
      </c>
      <c r="AA119" s="20">
        <v>99.522105263157883</v>
      </c>
      <c r="AB119" s="20">
        <v>99.522105263157883</v>
      </c>
      <c r="AC119" s="20">
        <v>100</v>
      </c>
      <c r="AD119" s="20">
        <v>0</v>
      </c>
      <c r="AE119" s="20">
        <v>125</v>
      </c>
    </row>
    <row r="120" spans="2:31" x14ac:dyDescent="0.25">
      <c r="C120" s="20">
        <v>1711.1111111111113</v>
      </c>
      <c r="D120" s="20">
        <v>1644.6808080808082</v>
      </c>
      <c r="E120" s="20">
        <v>0</v>
      </c>
      <c r="F120" s="20">
        <v>64.010636363636365</v>
      </c>
      <c r="G120" s="20">
        <v>64.010636363636365</v>
      </c>
      <c r="H120" s="20">
        <v>0</v>
      </c>
      <c r="I120" s="20">
        <v>0</v>
      </c>
      <c r="J120" s="20">
        <v>116.619</v>
      </c>
      <c r="M120" s="20">
        <v>1621.0526315789473</v>
      </c>
      <c r="N120" s="20">
        <v>1568.3492822966507</v>
      </c>
      <c r="O120" s="23">
        <v>94.02345327296787</v>
      </c>
      <c r="P120" s="20">
        <v>60.575717703349284</v>
      </c>
      <c r="Q120" s="20">
        <v>60.575717703349284</v>
      </c>
      <c r="R120" s="20">
        <v>58.464050248648711</v>
      </c>
      <c r="S120" s="20">
        <v>1</v>
      </c>
      <c r="T120" s="20">
        <v>45</v>
      </c>
      <c r="X120" s="20">
        <v>3157.8947368421054</v>
      </c>
      <c r="Y120" s="20">
        <v>2697.9473684210529</v>
      </c>
      <c r="Z120" s="20">
        <v>155.27792373026847</v>
      </c>
      <c r="AA120" s="20">
        <v>100.93842105263158</v>
      </c>
      <c r="AB120" s="20">
        <v>100.93842105263158</v>
      </c>
      <c r="AC120" s="20">
        <v>100</v>
      </c>
      <c r="AD120" s="20">
        <v>0</v>
      </c>
      <c r="AE120" s="20">
        <v>125</v>
      </c>
    </row>
    <row r="121" spans="2:31" x14ac:dyDescent="0.25">
      <c r="C121" s="20">
        <v>1833.3333333333335</v>
      </c>
      <c r="D121" s="20">
        <v>1745.5151515151517</v>
      </c>
      <c r="E121" s="20">
        <v>0</v>
      </c>
      <c r="F121" s="20">
        <v>68.548181818181831</v>
      </c>
      <c r="G121" s="20">
        <v>68.548181818181831</v>
      </c>
      <c r="H121" s="20">
        <v>0</v>
      </c>
      <c r="I121" s="20">
        <v>0</v>
      </c>
      <c r="J121" s="20">
        <v>116.619</v>
      </c>
      <c r="M121" s="20">
        <v>1736.8421052631579</v>
      </c>
      <c r="N121" s="20">
        <v>1666.0468899521532</v>
      </c>
      <c r="O121" s="23">
        <v>99.274010977482163</v>
      </c>
      <c r="P121" s="20">
        <v>64.972110047846883</v>
      </c>
      <c r="Q121" s="20">
        <v>64.972110047846883</v>
      </c>
      <c r="R121" s="20">
        <v>59.659842676131881</v>
      </c>
      <c r="S121" s="20">
        <v>1</v>
      </c>
      <c r="T121" s="20">
        <v>45</v>
      </c>
      <c r="X121" s="20">
        <v>3226.3157894736842</v>
      </c>
      <c r="Y121" s="20">
        <v>2745.1578947368421</v>
      </c>
      <c r="Z121" s="20">
        <v>159.15168828174174</v>
      </c>
      <c r="AA121" s="20">
        <v>102.35473684210527</v>
      </c>
      <c r="AB121" s="20">
        <v>102.35473684210527</v>
      </c>
      <c r="AC121" s="20">
        <v>100</v>
      </c>
      <c r="AD121" s="20">
        <v>0</v>
      </c>
      <c r="AE121" s="20">
        <v>125</v>
      </c>
    </row>
    <row r="122" spans="2:31" x14ac:dyDescent="0.25">
      <c r="C122" s="20">
        <v>1900</v>
      </c>
      <c r="D122" s="20">
        <v>1799.5636363636363</v>
      </c>
      <c r="E122" s="20">
        <v>0</v>
      </c>
      <c r="F122" s="20">
        <v>70.980363636363634</v>
      </c>
      <c r="G122" s="20">
        <v>70.980363636363634</v>
      </c>
      <c r="H122" s="20">
        <v>0</v>
      </c>
      <c r="I122" s="20">
        <v>0</v>
      </c>
      <c r="J122" s="20">
        <v>40</v>
      </c>
      <c r="M122" s="20">
        <v>1852.6315789473683</v>
      </c>
      <c r="N122" s="20">
        <v>1761.1607655502391</v>
      </c>
      <c r="O122" s="23">
        <v>104.4443546557124</v>
      </c>
      <c r="P122" s="20">
        <v>69.252234449760763</v>
      </c>
      <c r="Q122" s="20">
        <v>69.252234449760763</v>
      </c>
      <c r="R122" s="20">
        <v>60.735985421963221</v>
      </c>
      <c r="S122" s="20">
        <v>1</v>
      </c>
      <c r="T122" s="20">
        <v>45</v>
      </c>
      <c r="X122" s="20">
        <v>3294.7368421052633</v>
      </c>
      <c r="Y122" s="20">
        <v>2792.3684210526317</v>
      </c>
      <c r="Z122" s="20">
        <v>163.0254444771075</v>
      </c>
      <c r="AA122" s="20">
        <v>103.77105263157895</v>
      </c>
      <c r="AB122" s="20">
        <v>103.77105263157895</v>
      </c>
      <c r="AC122" s="20">
        <v>100</v>
      </c>
      <c r="AD122" s="20">
        <v>0</v>
      </c>
      <c r="AE122" s="20">
        <v>125</v>
      </c>
    </row>
    <row r="123" spans="2:31" x14ac:dyDescent="0.25">
      <c r="C123" s="20">
        <v>1955.5555555555557</v>
      </c>
      <c r="D123" s="20">
        <v>1843.5131313131315</v>
      </c>
      <c r="E123" s="20">
        <v>0</v>
      </c>
      <c r="F123" s="20">
        <v>72.958090909090913</v>
      </c>
      <c r="G123" s="20">
        <v>72.958090909090913</v>
      </c>
      <c r="H123" s="20">
        <v>0</v>
      </c>
      <c r="I123" s="20">
        <v>0</v>
      </c>
      <c r="J123" s="20">
        <v>40</v>
      </c>
      <c r="M123" s="20">
        <v>1968.4210526315787</v>
      </c>
      <c r="N123" s="20">
        <v>1853.6909090909089</v>
      </c>
      <c r="O123" s="23">
        <v>109.51698745377851</v>
      </c>
      <c r="P123" s="20">
        <v>73.416090909090897</v>
      </c>
      <c r="Q123" s="20">
        <v>73.416090909090897</v>
      </c>
      <c r="R123" s="20">
        <v>61.650158479360329</v>
      </c>
      <c r="S123" s="20">
        <v>1</v>
      </c>
      <c r="T123" s="20">
        <v>45</v>
      </c>
      <c r="X123" s="20">
        <v>3363.1578947368421</v>
      </c>
      <c r="Y123" s="20">
        <v>2839.5789473684208</v>
      </c>
      <c r="Z123" s="20">
        <v>166.89910452288237</v>
      </c>
      <c r="AA123" s="20">
        <v>105.18736842105262</v>
      </c>
      <c r="AB123" s="20">
        <v>105.18736842105262</v>
      </c>
      <c r="AC123" s="20">
        <v>100</v>
      </c>
      <c r="AD123" s="20">
        <v>0</v>
      </c>
      <c r="AE123" s="20">
        <v>125</v>
      </c>
    </row>
    <row r="124" spans="2:31" x14ac:dyDescent="0.25">
      <c r="C124" s="20">
        <v>2077.7777777777778</v>
      </c>
      <c r="D124" s="20">
        <v>1938.6747474747474</v>
      </c>
      <c r="E124" s="20">
        <v>0</v>
      </c>
      <c r="F124" s="20">
        <v>77.240363636363625</v>
      </c>
      <c r="G124" s="20">
        <v>77.240363636363625</v>
      </c>
      <c r="H124" s="20">
        <v>0</v>
      </c>
      <c r="I124" s="20">
        <v>0</v>
      </c>
      <c r="J124" s="20">
        <v>40</v>
      </c>
      <c r="M124" s="20">
        <v>2084.2105263157891</v>
      </c>
      <c r="N124" s="20">
        <v>1943.6373205741625</v>
      </c>
      <c r="O124" s="23">
        <v>114.47667741710283</v>
      </c>
      <c r="P124" s="20">
        <v>77.463679425837299</v>
      </c>
      <c r="Q124" s="20">
        <v>77.463679425837299</v>
      </c>
      <c r="R124" s="20">
        <v>62.152760539293809</v>
      </c>
      <c r="S124" s="20">
        <v>1</v>
      </c>
      <c r="T124" s="20">
        <v>45</v>
      </c>
      <c r="X124" s="20">
        <v>3431.5789473684208</v>
      </c>
      <c r="Y124" s="20">
        <v>2886.7894736842104</v>
      </c>
      <c r="Z124" s="20">
        <v>170.77260080751319</v>
      </c>
      <c r="AA124" s="20">
        <v>106.60368421052631</v>
      </c>
      <c r="AB124" s="20">
        <v>106.60368421052631</v>
      </c>
      <c r="AC124" s="20">
        <v>100</v>
      </c>
      <c r="AD124" s="20">
        <v>0</v>
      </c>
      <c r="AE124" s="20">
        <v>125</v>
      </c>
    </row>
    <row r="125" spans="2:31" x14ac:dyDescent="0.25">
      <c r="C125" s="20">
        <v>2200</v>
      </c>
      <c r="D125" s="20">
        <v>2031</v>
      </c>
      <c r="E125" s="20">
        <v>0</v>
      </c>
      <c r="F125" s="20">
        <v>80.930000000000007</v>
      </c>
      <c r="G125" s="20">
        <v>80.930000000000007</v>
      </c>
      <c r="H125" s="20">
        <v>0</v>
      </c>
      <c r="I125" s="20">
        <v>0</v>
      </c>
      <c r="J125" s="20">
        <v>125</v>
      </c>
      <c r="M125" s="20">
        <v>2200</v>
      </c>
      <c r="N125" s="20">
        <v>2031</v>
      </c>
      <c r="O125" s="23">
        <v>119.37155282140304</v>
      </c>
      <c r="P125" s="20">
        <v>80.930000000000007</v>
      </c>
      <c r="Q125" s="20">
        <v>80.930000000000007</v>
      </c>
      <c r="R125" s="20">
        <v>100</v>
      </c>
      <c r="S125" s="20">
        <v>1.1102230246251565E-16</v>
      </c>
      <c r="T125" s="20">
        <v>125</v>
      </c>
      <c r="X125" s="20">
        <v>3500</v>
      </c>
      <c r="Y125" s="20">
        <v>2934</v>
      </c>
      <c r="Z125" s="20">
        <v>174.64588104134972</v>
      </c>
      <c r="AA125" s="20">
        <v>108.02</v>
      </c>
      <c r="AB125" s="20">
        <v>108.02</v>
      </c>
      <c r="AC125" s="20">
        <v>100</v>
      </c>
      <c r="AD125" s="20">
        <v>0</v>
      </c>
      <c r="AE125" s="20">
        <v>125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0</v>
      </c>
      <c r="M128" t="s">
        <v>131</v>
      </c>
      <c r="N128" s="21">
        <f>O125</f>
        <v>119.37155282140304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t="str" cm="1">
        <f t="array" ref="C132">[1]!GLV_q_gas_sm3day(d_GLV,PGLV_in,N128,gamma_gas_,t_GLV)</f>
        <v xml:space="preserve">GLV_q_gas_sm3day:error in function </v>
      </c>
      <c r="M132" t="s">
        <v>139</v>
      </c>
      <c r="N132" s="21">
        <f>O106</f>
        <v>30</v>
      </c>
      <c r="Y132" t="s">
        <v>140</v>
      </c>
    </row>
    <row r="133" spans="2:36" x14ac:dyDescent="0.25"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{"gamma_gas":0.8,"gamma_oil":0.86,"gamma_wat":1.1,"rsb_m3m3":120,"pb_atma":120,"t_res_C":100,"bob_m3m3":1.2,"muob_cP":1,"PVT_corr_set":0,"q_liq_sm3day":22.677,"fw_perc":10,"q_gas_free_sm3day":5500}</v>
      </c>
    </row>
    <row r="135" spans="2:36" x14ac:dyDescent="0.25">
      <c r="Y135" s="14" t="s">
        <v>143</v>
      </c>
      <c r="Z135" s="15" t="e">
        <f>Pbuf_calc</f>
        <v>#VALUE!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 t="e">
        <f>q_gas_GLV-Q_gas_free</f>
        <v>#VALUE!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 t="str">
        <f t="array" ref="Z144:AJ145">[1]!MF_choke_p_atma(Z133,Z134,Z135,Z136,Z137,Z139,Z140,Z141,Z142,Z143)</f>
        <v>error:MF_p_choke_atma:Subscript out of range</v>
      </c>
      <c r="AA144" s="16" t="str">
        <v>error:MF_p_choke_atma:Subscript out of range</v>
      </c>
      <c r="AB144" s="16" t="str">
        <v>error:MF_p_choke_atma:Subscript out of range</v>
      </c>
      <c r="AC144" s="16" t="str">
        <v>error:MF_p_choke_atma:Subscript out of range</v>
      </c>
      <c r="AD144" s="16" t="str">
        <v>error:MF_p_choke_atma:Subscript out of range</v>
      </c>
      <c r="AE144" s="16" t="str">
        <v>error:MF_p_choke_atma:Subscript out of range</v>
      </c>
      <c r="AF144" s="16" t="str">
        <v>error:MF_p_choke_atma:Subscript out of range</v>
      </c>
      <c r="AG144" s="16" t="str">
        <v>error:MF_p_choke_atma:Subscript out of range</v>
      </c>
      <c r="AH144" s="16" t="str">
        <v>error:MF_p_choke_atma:Subscript out of range</v>
      </c>
      <c r="AI144" s="16" t="str">
        <v>error:MF_p_choke_atma:Subscript out of range</v>
      </c>
      <c r="AJ144" s="16" t="str">
        <v>error:MF_p_choke_atma:Subscript out of range</v>
      </c>
    </row>
    <row r="145" spans="25:36" x14ac:dyDescent="0.25">
      <c r="Z145" s="16" t="str">
        <v>error:MF_p_choke_atma:Subscript out of range</v>
      </c>
      <c r="AA145" s="16" t="str">
        <v>error:MF_p_choke_atma:Subscript out of range</v>
      </c>
      <c r="AB145" s="16" t="str">
        <v>error:MF_p_choke_atma:Subscript out of range</v>
      </c>
      <c r="AC145" s="16" t="str">
        <v>error:MF_p_choke_atma:Subscript out of range</v>
      </c>
      <c r="AD145" s="16" t="str">
        <v>error:MF_p_choke_atma:Subscript out of range</v>
      </c>
      <c r="AE145" s="16" t="str">
        <v>error:MF_p_choke_atma:Subscript out of range</v>
      </c>
      <c r="AF145" s="16" t="str">
        <v>error:MF_p_choke_atma:Subscript out of range</v>
      </c>
      <c r="AG145" s="16" t="str">
        <v>error:MF_p_choke_atma:Subscript out of range</v>
      </c>
      <c r="AH145" s="16" t="str">
        <v>error:MF_p_choke_atma:Subscript out of range</v>
      </c>
      <c r="AI145" s="16" t="str">
        <v>error:MF_p_choke_atma:Subscript out of range</v>
      </c>
      <c r="AJ145" s="16" t="str">
        <v>error:MF_p_choke_atma:Subscript out of range</v>
      </c>
    </row>
    <row r="147" spans="25:36" x14ac:dyDescent="0.25">
      <c r="Y147" s="14" t="s">
        <v>148</v>
      </c>
    </row>
    <row r="148" spans="25:36" x14ac:dyDescent="0.25">
      <c r="Z148" t="e">
        <f>choke_p</f>
        <v>#VALUE!</v>
      </c>
    </row>
  </sheetData>
  <mergeCells count="2">
    <mergeCell ref="B53:C53"/>
    <mergeCell ref="E54:F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F1D23-52F0-402C-9994-64B83862552E}">
  <sheetPr codeName="Лист6"/>
  <dimension ref="A1:G52"/>
  <sheetViews>
    <sheetView topLeftCell="A11" workbookViewId="0">
      <selection activeCell="G45" sqref="G45"/>
    </sheetView>
  </sheetViews>
  <sheetFormatPr defaultRowHeight="15" x14ac:dyDescent="0.25"/>
  <cols>
    <col min="1" max="1" width="10.85546875" bestFit="1" customWidth="1"/>
  </cols>
  <sheetData>
    <row r="1" spans="1:7" x14ac:dyDescent="0.25">
      <c r="A1" t="s">
        <v>164</v>
      </c>
      <c r="B1" s="9" t="s">
        <v>93</v>
      </c>
      <c r="C1" s="9" t="s">
        <v>94</v>
      </c>
      <c r="F1" s="14" t="s">
        <v>113</v>
      </c>
      <c r="G1" s="16" t="str">
        <f>[1]!encode_t_model(1,F4:G7)</f>
        <v>{"t_model":1,"t_list_C":{"hvert_m":[0,1000,2000,2500],"t_C":[10,35,80,95]}}</v>
      </c>
    </row>
    <row r="2" spans="1:7" x14ac:dyDescent="0.25">
      <c r="A2" t="s">
        <v>163</v>
      </c>
      <c r="B2" s="4">
        <v>0</v>
      </c>
      <c r="C2" s="4">
        <v>0</v>
      </c>
      <c r="F2" s="14" t="s">
        <v>111</v>
      </c>
      <c r="G2" s="14"/>
    </row>
    <row r="3" spans="1:7" x14ac:dyDescent="0.25">
      <c r="A3" t="s">
        <v>163</v>
      </c>
      <c r="B3" s="4">
        <v>1000</v>
      </c>
      <c r="C3" s="4">
        <v>1000</v>
      </c>
      <c r="F3" s="14" t="s">
        <v>110</v>
      </c>
      <c r="G3" s="14" t="s">
        <v>112</v>
      </c>
    </row>
    <row r="4" spans="1:7" x14ac:dyDescent="0.25">
      <c r="A4" t="s">
        <v>163</v>
      </c>
      <c r="B4" s="4">
        <v>1100</v>
      </c>
      <c r="C4" s="4">
        <v>1096</v>
      </c>
      <c r="F4" s="15">
        <v>0</v>
      </c>
      <c r="G4" s="15">
        <v>10</v>
      </c>
    </row>
    <row r="5" spans="1:7" x14ac:dyDescent="0.25">
      <c r="A5" t="s">
        <v>163</v>
      </c>
      <c r="B5" s="4">
        <v>1200</v>
      </c>
      <c r="C5" s="4">
        <v>1191</v>
      </c>
      <c r="F5" s="15">
        <v>1000</v>
      </c>
      <c r="G5" s="15">
        <v>35</v>
      </c>
    </row>
    <row r="6" spans="1:7" x14ac:dyDescent="0.25">
      <c r="A6" t="s">
        <v>163</v>
      </c>
      <c r="B6" s="4">
        <v>1300</v>
      </c>
      <c r="C6" s="4">
        <v>1284</v>
      </c>
      <c r="F6" s="15">
        <v>2000</v>
      </c>
      <c r="G6" s="15">
        <v>80</v>
      </c>
    </row>
    <row r="7" spans="1:7" x14ac:dyDescent="0.25">
      <c r="A7" t="s">
        <v>163</v>
      </c>
      <c r="B7" s="4">
        <v>1400</v>
      </c>
      <c r="C7" s="4">
        <v>1375</v>
      </c>
      <c r="F7" s="15">
        <v>2500</v>
      </c>
      <c r="G7" s="15">
        <v>95</v>
      </c>
    </row>
    <row r="8" spans="1:7" x14ac:dyDescent="0.25">
      <c r="A8" t="s">
        <v>163</v>
      </c>
      <c r="B8" s="4">
        <v>1500</v>
      </c>
      <c r="C8" s="4">
        <v>1464</v>
      </c>
    </row>
    <row r="9" spans="1:7" x14ac:dyDescent="0.25">
      <c r="A9" t="s">
        <v>163</v>
      </c>
      <c r="B9" s="4">
        <v>1600</v>
      </c>
      <c r="C9" s="4">
        <v>1551</v>
      </c>
    </row>
    <row r="10" spans="1:7" x14ac:dyDescent="0.25">
      <c r="A10" t="s">
        <v>163</v>
      </c>
      <c r="B10" s="4">
        <v>1700</v>
      </c>
      <c r="C10" s="4">
        <v>1636</v>
      </c>
    </row>
    <row r="11" spans="1:7" x14ac:dyDescent="0.25">
      <c r="A11" t="s">
        <v>163</v>
      </c>
      <c r="B11" s="4">
        <v>1800</v>
      </c>
      <c r="C11" s="4">
        <v>1719</v>
      </c>
    </row>
    <row r="12" spans="1:7" x14ac:dyDescent="0.25">
      <c r="A12" t="s">
        <v>163</v>
      </c>
      <c r="B12" s="4">
        <v>1900</v>
      </c>
      <c r="C12" s="4">
        <v>1800</v>
      </c>
    </row>
    <row r="13" spans="1:7" x14ac:dyDescent="0.25">
      <c r="A13" t="s">
        <v>163</v>
      </c>
      <c r="B13" s="4">
        <v>2000</v>
      </c>
      <c r="C13" s="4">
        <v>1879</v>
      </c>
    </row>
    <row r="14" spans="1:7" x14ac:dyDescent="0.25">
      <c r="A14" t="s">
        <v>163</v>
      </c>
      <c r="B14" s="4">
        <v>2100</v>
      </c>
      <c r="C14" s="4">
        <v>1956</v>
      </c>
    </row>
    <row r="15" spans="1:7" x14ac:dyDescent="0.25">
      <c r="A15" t="s">
        <v>163</v>
      </c>
      <c r="B15" s="4">
        <v>2200</v>
      </c>
      <c r="C15" s="4">
        <v>2031</v>
      </c>
    </row>
    <row r="16" spans="1:7" x14ac:dyDescent="0.25">
      <c r="A16" t="s">
        <v>163</v>
      </c>
      <c r="B16" s="4">
        <v>2300</v>
      </c>
      <c r="C16" s="4">
        <v>2104</v>
      </c>
    </row>
    <row r="17" spans="1:3" x14ac:dyDescent="0.25">
      <c r="A17" t="s">
        <v>163</v>
      </c>
      <c r="B17" s="4">
        <v>2400</v>
      </c>
      <c r="C17" s="4">
        <v>2175</v>
      </c>
    </row>
    <row r="18" spans="1:3" x14ac:dyDescent="0.25">
      <c r="A18" t="s">
        <v>163</v>
      </c>
      <c r="B18" s="4">
        <v>2500</v>
      </c>
      <c r="C18" s="4">
        <v>2244</v>
      </c>
    </row>
    <row r="19" spans="1:3" x14ac:dyDescent="0.25">
      <c r="A19" t="s">
        <v>174</v>
      </c>
      <c r="B19" s="4">
        <v>0</v>
      </c>
      <c r="C19" s="4">
        <v>0</v>
      </c>
    </row>
    <row r="20" spans="1:3" x14ac:dyDescent="0.25">
      <c r="A20" t="s">
        <v>174</v>
      </c>
      <c r="B20" s="4">
        <v>1000</v>
      </c>
      <c r="C20" s="4">
        <v>1000</v>
      </c>
    </row>
    <row r="21" spans="1:3" x14ac:dyDescent="0.25">
      <c r="A21" t="s">
        <v>174</v>
      </c>
      <c r="B21" s="4">
        <v>1100</v>
      </c>
      <c r="C21" s="4">
        <v>1096</v>
      </c>
    </row>
    <row r="22" spans="1:3" x14ac:dyDescent="0.25">
      <c r="A22" t="s">
        <v>174</v>
      </c>
      <c r="B22" s="4">
        <v>1200</v>
      </c>
      <c r="C22" s="4">
        <v>1191</v>
      </c>
    </row>
    <row r="23" spans="1:3" x14ac:dyDescent="0.25">
      <c r="A23" t="s">
        <v>174</v>
      </c>
      <c r="B23" s="4">
        <v>1300</v>
      </c>
      <c r="C23" s="4">
        <v>1284</v>
      </c>
    </row>
    <row r="24" spans="1:3" x14ac:dyDescent="0.25">
      <c r="A24" t="s">
        <v>174</v>
      </c>
      <c r="B24" s="4">
        <v>1400</v>
      </c>
      <c r="C24" s="4">
        <v>1375</v>
      </c>
    </row>
    <row r="25" spans="1:3" x14ac:dyDescent="0.25">
      <c r="A25" t="s">
        <v>174</v>
      </c>
      <c r="B25" s="4">
        <v>1500</v>
      </c>
      <c r="C25" s="4">
        <v>1464</v>
      </c>
    </row>
    <row r="26" spans="1:3" x14ac:dyDescent="0.25">
      <c r="A26" t="s">
        <v>174</v>
      </c>
      <c r="B26" s="4">
        <v>1600</v>
      </c>
      <c r="C26" s="4">
        <v>1551</v>
      </c>
    </row>
    <row r="27" spans="1:3" x14ac:dyDescent="0.25">
      <c r="A27" t="s">
        <v>174</v>
      </c>
      <c r="B27" s="4">
        <v>1700</v>
      </c>
      <c r="C27" s="4">
        <v>1636</v>
      </c>
    </row>
    <row r="28" spans="1:3" x14ac:dyDescent="0.25">
      <c r="A28" t="s">
        <v>174</v>
      </c>
      <c r="B28" s="4">
        <v>1800</v>
      </c>
      <c r="C28" s="4">
        <v>1719</v>
      </c>
    </row>
    <row r="29" spans="1:3" x14ac:dyDescent="0.25">
      <c r="A29" t="s">
        <v>174</v>
      </c>
      <c r="B29" s="4">
        <v>1900</v>
      </c>
      <c r="C29" s="4">
        <v>1800</v>
      </c>
    </row>
    <row r="30" spans="1:3" x14ac:dyDescent="0.25">
      <c r="A30" t="s">
        <v>174</v>
      </c>
      <c r="B30" s="4">
        <v>2100</v>
      </c>
      <c r="C30" s="4">
        <v>1879</v>
      </c>
    </row>
    <row r="31" spans="1:3" x14ac:dyDescent="0.25">
      <c r="A31" t="s">
        <v>174</v>
      </c>
      <c r="B31" s="4">
        <v>2200</v>
      </c>
      <c r="C31" s="4">
        <v>1956</v>
      </c>
    </row>
    <row r="32" spans="1:3" x14ac:dyDescent="0.25">
      <c r="A32" t="s">
        <v>174</v>
      </c>
      <c r="B32" s="4">
        <v>2300</v>
      </c>
      <c r="C32" s="4">
        <v>2031</v>
      </c>
    </row>
    <row r="33" spans="1:3" x14ac:dyDescent="0.25">
      <c r="A33" t="s">
        <v>174</v>
      </c>
      <c r="B33" s="4">
        <v>2400</v>
      </c>
      <c r="C33" s="4">
        <v>2104</v>
      </c>
    </row>
    <row r="34" spans="1:3" x14ac:dyDescent="0.25">
      <c r="A34" t="s">
        <v>174</v>
      </c>
      <c r="B34" s="4">
        <v>2500</v>
      </c>
      <c r="C34" s="4">
        <v>2175</v>
      </c>
    </row>
    <row r="35" spans="1:3" x14ac:dyDescent="0.25">
      <c r="A35" t="s">
        <v>174</v>
      </c>
      <c r="B35" s="4">
        <v>2600</v>
      </c>
      <c r="C35" s="4">
        <v>2244</v>
      </c>
    </row>
    <row r="36" spans="1:3" x14ac:dyDescent="0.25">
      <c r="A36" t="s">
        <v>175</v>
      </c>
      <c r="B36" s="4">
        <v>0</v>
      </c>
      <c r="C36" s="4">
        <v>0</v>
      </c>
    </row>
    <row r="37" spans="1:3" x14ac:dyDescent="0.25">
      <c r="A37" t="s">
        <v>175</v>
      </c>
      <c r="B37" s="4">
        <v>1000</v>
      </c>
      <c r="C37" s="4">
        <v>1000</v>
      </c>
    </row>
    <row r="38" spans="1:3" x14ac:dyDescent="0.25">
      <c r="A38" t="s">
        <v>175</v>
      </c>
      <c r="B38" s="4">
        <v>1100</v>
      </c>
      <c r="C38" s="4">
        <v>1096</v>
      </c>
    </row>
    <row r="39" spans="1:3" x14ac:dyDescent="0.25">
      <c r="A39" t="s">
        <v>175</v>
      </c>
      <c r="B39" s="4">
        <v>1200</v>
      </c>
      <c r="C39" s="4">
        <v>1191</v>
      </c>
    </row>
    <row r="40" spans="1:3" x14ac:dyDescent="0.25">
      <c r="A40" t="s">
        <v>175</v>
      </c>
      <c r="B40" s="4">
        <v>1300</v>
      </c>
      <c r="C40" s="4">
        <v>1284</v>
      </c>
    </row>
    <row r="41" spans="1:3" x14ac:dyDescent="0.25">
      <c r="A41" t="s">
        <v>175</v>
      </c>
      <c r="B41" s="4">
        <v>1400</v>
      </c>
      <c r="C41" s="4">
        <v>1375</v>
      </c>
    </row>
    <row r="42" spans="1:3" x14ac:dyDescent="0.25">
      <c r="A42" t="s">
        <v>175</v>
      </c>
      <c r="B42" s="4">
        <v>1500</v>
      </c>
      <c r="C42" s="4">
        <v>1464</v>
      </c>
    </row>
    <row r="43" spans="1:3" x14ac:dyDescent="0.25">
      <c r="A43" t="s">
        <v>175</v>
      </c>
      <c r="B43" s="4">
        <v>1600</v>
      </c>
      <c r="C43" s="4">
        <v>1500</v>
      </c>
    </row>
    <row r="44" spans="1:3" x14ac:dyDescent="0.25">
      <c r="A44" t="s">
        <v>175</v>
      </c>
      <c r="B44" s="4">
        <v>1700</v>
      </c>
      <c r="C44" s="4">
        <v>1571.3333333333301</v>
      </c>
    </row>
    <row r="45" spans="1:3" x14ac:dyDescent="0.25">
      <c r="A45" t="s">
        <v>175</v>
      </c>
      <c r="B45" s="4">
        <v>1800</v>
      </c>
      <c r="C45" s="4">
        <v>1633.8333333333301</v>
      </c>
    </row>
    <row r="46" spans="1:3" x14ac:dyDescent="0.25">
      <c r="A46" t="s">
        <v>175</v>
      </c>
      <c r="B46" s="4">
        <v>1900</v>
      </c>
      <c r="C46" s="4">
        <v>1696.3333333333301</v>
      </c>
    </row>
    <row r="47" spans="1:3" x14ac:dyDescent="0.25">
      <c r="A47" t="s">
        <v>175</v>
      </c>
      <c r="B47" s="4">
        <v>2100</v>
      </c>
      <c r="C47" s="4">
        <v>1758.8333333333301</v>
      </c>
    </row>
    <row r="48" spans="1:3" x14ac:dyDescent="0.25">
      <c r="A48" t="s">
        <v>175</v>
      </c>
      <c r="B48" s="4">
        <v>2200</v>
      </c>
      <c r="C48" s="4">
        <v>1821.3333333333301</v>
      </c>
    </row>
    <row r="49" spans="1:3" x14ac:dyDescent="0.25">
      <c r="A49" t="s">
        <v>175</v>
      </c>
      <c r="B49" s="4">
        <v>2300</v>
      </c>
      <c r="C49" s="4">
        <v>1883.8333333333301</v>
      </c>
    </row>
    <row r="50" spans="1:3" x14ac:dyDescent="0.25">
      <c r="A50" t="s">
        <v>175</v>
      </c>
      <c r="B50" s="4">
        <v>2400</v>
      </c>
      <c r="C50" s="4">
        <v>1946.3333333333301</v>
      </c>
    </row>
    <row r="51" spans="1:3" x14ac:dyDescent="0.25">
      <c r="A51" t="s">
        <v>175</v>
      </c>
      <c r="B51" s="4">
        <v>2500</v>
      </c>
      <c r="C51" s="4">
        <v>2008.8333333333301</v>
      </c>
    </row>
    <row r="52" spans="1:3" x14ac:dyDescent="0.25">
      <c r="A52" t="s">
        <v>175</v>
      </c>
      <c r="B52" s="4">
        <v>2600</v>
      </c>
      <c r="C52" s="4">
        <v>2071.3333333333298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82E17-939B-4FD5-A264-A56CEFAE41D5}">
  <sheetPr codeName="Лист5"/>
  <dimension ref="A2:BA67"/>
  <sheetViews>
    <sheetView tabSelected="1" topLeftCell="U3" zoomScale="90" zoomScaleNormal="90" workbookViewId="0">
      <selection activeCell="AK23" sqref="AK23"/>
    </sheetView>
  </sheetViews>
  <sheetFormatPr defaultRowHeight="15" x14ac:dyDescent="0.25"/>
  <cols>
    <col min="1" max="1" width="11.140625" bestFit="1" customWidth="1"/>
    <col min="33" max="33" width="11" bestFit="1" customWidth="1"/>
  </cols>
  <sheetData>
    <row r="2" spans="7:9" ht="15.75" thickBot="1" x14ac:dyDescent="0.3"/>
    <row r="3" spans="7:9" ht="15.75" thickBot="1" x14ac:dyDescent="0.3">
      <c r="G3" s="37" t="s">
        <v>176</v>
      </c>
      <c r="H3" s="38"/>
      <c r="I3" s="39"/>
    </row>
    <row r="4" spans="7:9" ht="15.75" thickBot="1" x14ac:dyDescent="0.3">
      <c r="G4" s="33" t="s">
        <v>177</v>
      </c>
      <c r="H4" s="34"/>
      <c r="I4" s="27"/>
    </row>
    <row r="5" spans="7:9" x14ac:dyDescent="0.25">
      <c r="G5" s="35" t="s">
        <v>178</v>
      </c>
      <c r="H5" s="35"/>
      <c r="I5" s="28">
        <v>20</v>
      </c>
    </row>
    <row r="6" spans="7:9" x14ac:dyDescent="0.25">
      <c r="G6" s="36" t="s">
        <v>179</v>
      </c>
      <c r="H6" s="36"/>
      <c r="I6" s="29">
        <v>1E-4</v>
      </c>
    </row>
    <row r="25" spans="1:41" ht="61.5" x14ac:dyDescent="0.35">
      <c r="A25" t="s">
        <v>161</v>
      </c>
      <c r="B25" s="3" t="s">
        <v>42</v>
      </c>
      <c r="C25" s="8" t="s">
        <v>44</v>
      </c>
      <c r="D25" s="8" t="s">
        <v>45</v>
      </c>
      <c r="E25" s="9" t="s">
        <v>46</v>
      </c>
      <c r="F25" s="8" t="s">
        <v>49</v>
      </c>
      <c r="G25" s="8" t="s">
        <v>52</v>
      </c>
      <c r="H25" s="9" t="s">
        <v>55</v>
      </c>
      <c r="I25" s="12" t="s">
        <v>57</v>
      </c>
      <c r="J25" s="12" t="s">
        <v>59</v>
      </c>
      <c r="K25" s="14" t="s">
        <v>61</v>
      </c>
      <c r="L25" t="s">
        <v>109</v>
      </c>
      <c r="M25" t="s">
        <v>129</v>
      </c>
      <c r="N25" t="s">
        <v>137</v>
      </c>
      <c r="O25" s="9" t="s">
        <v>72</v>
      </c>
      <c r="P25" s="9" t="s">
        <v>77</v>
      </c>
      <c r="Q25" s="9" t="s">
        <v>78</v>
      </c>
      <c r="R25" s="9" t="s">
        <v>79</v>
      </c>
      <c r="S25" s="9" t="s">
        <v>69</v>
      </c>
      <c r="T25" s="9" t="s">
        <v>162</v>
      </c>
      <c r="U25" s="9" t="s">
        <v>67</v>
      </c>
      <c r="V25" s="9" t="s">
        <v>127</v>
      </c>
      <c r="W25" s="9" t="s">
        <v>84</v>
      </c>
      <c r="X25" s="9" t="s">
        <v>85</v>
      </c>
      <c r="Y25" s="9" t="s">
        <v>86</v>
      </c>
      <c r="Z25" s="9" t="s">
        <v>87</v>
      </c>
      <c r="AA25" s="9" t="s">
        <v>88</v>
      </c>
      <c r="AB25" s="9" t="s">
        <v>89</v>
      </c>
      <c r="AC25" s="9" t="s">
        <v>90</v>
      </c>
      <c r="AD25" s="9" t="s">
        <v>91</v>
      </c>
      <c r="AE25" s="9" t="s">
        <v>134</v>
      </c>
      <c r="AF25" s="25" t="s">
        <v>118</v>
      </c>
      <c r="AG25" s="25" t="s">
        <v>167</v>
      </c>
      <c r="AH25" s="25" t="s">
        <v>168</v>
      </c>
      <c r="AI25" s="25" t="s">
        <v>169</v>
      </c>
      <c r="AJ25" s="25" t="s">
        <v>171</v>
      </c>
      <c r="AK25" s="9" t="s">
        <v>74</v>
      </c>
      <c r="AL25" s="9" t="s">
        <v>75</v>
      </c>
      <c r="AM25" s="17" t="s">
        <v>126</v>
      </c>
      <c r="AN25" s="17" t="s">
        <v>173</v>
      </c>
      <c r="AO25" s="17" t="s">
        <v>172</v>
      </c>
    </row>
    <row r="26" spans="1:41" x14ac:dyDescent="0.25">
      <c r="A26" t="s">
        <v>163</v>
      </c>
      <c r="B26" s="4">
        <v>0.86</v>
      </c>
      <c r="C26" s="4">
        <v>1.1000000000000001</v>
      </c>
      <c r="D26" s="4">
        <v>0.8</v>
      </c>
      <c r="E26" s="4">
        <v>120</v>
      </c>
      <c r="F26" s="4">
        <v>120</v>
      </c>
      <c r="G26" s="4">
        <v>100</v>
      </c>
      <c r="H26" s="4">
        <v>1.2</v>
      </c>
      <c r="I26" s="4">
        <v>1</v>
      </c>
      <c r="J26" s="4">
        <v>0</v>
      </c>
      <c r="K26" s="16" t="str">
        <f>[1]!encode_PVT(D26,B26,C26,E26,F26,G26,H26,I26,J26)</f>
        <v>{"gamma_gas":0.8,"gamma_oil":0.86,"gamma_wat":1.1,"rsb_m3m3":120,"pb_atma":120,"t_res_C":100,"bob_m3m3":1.2,"muob_cP":1,"PVT_corr_set":0}</v>
      </c>
      <c r="L26" t="str" cm="1">
        <f t="array" ref="L26">[1]!encode_feed(0,0,0,test_calc!U26,test_calc!K26)</f>
        <v>{"gamma_gas":0.8,"gamma_oil":0.86,"gamma_wat":1.1,"rsb_m3m3":120,"pb_atma":120,"t_res_C":100,"bob_m3m3":1.2,"muob_cP":1,"PVT_corr_set":0,"q_liq_sm3day":0,"fw_perc":0,"q_gas_free_sm3day":5500}</v>
      </c>
      <c r="M26" t="str" cm="1">
        <f t="array" ref="M26">[1]!encode_feed(test_calc!T26,test_calc!V26,,,test_calc!K26)</f>
        <v>{"gamma_gas":0.8,"gamma_oil":0.86,"gamma_wat":1.1,"rsb_m3m3":120,"pb_atma":120,"t_res_C":100,"bob_m3m3":1.2,"muob_cP":1,"PVT_corr_set":0,"q_liq_sm3day":55,"fw_perc":0}</v>
      </c>
      <c r="N26" t="str" cm="1">
        <f t="array" ref="N26">[1]!encode_feed(test_calc!T26,test_calc!V26,,test_calc!U26,test_calc!K26)</f>
        <v>{"gamma_gas":0.8,"gamma_oil":0.86,"gamma_wat":1.1,"rsb_m3m3":120,"pb_atma":120,"t_res_C":100,"bob_m3m3":1.2,"muob_cP":1,"PVT_corr_set":0,"q_liq_sm3day":55,"fw_perc":0,"q_gas_free_sm3day":5500}</v>
      </c>
      <c r="O26" s="4">
        <v>25</v>
      </c>
      <c r="P26" s="8"/>
      <c r="Q26" s="8"/>
      <c r="R26" s="4">
        <v>100</v>
      </c>
      <c r="S26" s="4">
        <v>50</v>
      </c>
      <c r="T26" s="4">
        <v>55</v>
      </c>
      <c r="U26" s="4">
        <v>5500</v>
      </c>
      <c r="V26" s="4">
        <v>0</v>
      </c>
      <c r="W26" s="4">
        <v>2700</v>
      </c>
      <c r="X26" s="4">
        <v>1900</v>
      </c>
      <c r="Y26" s="4">
        <v>1900</v>
      </c>
      <c r="Z26" s="4">
        <v>140</v>
      </c>
      <c r="AA26" s="4">
        <v>65</v>
      </c>
      <c r="AB26" s="4">
        <v>40</v>
      </c>
      <c r="AC26" s="4">
        <v>15</v>
      </c>
      <c r="AD26" s="4">
        <v>16</v>
      </c>
      <c r="AE26" s="4">
        <v>5</v>
      </c>
      <c r="AF26" s="15" t="s">
        <v>119</v>
      </c>
      <c r="AG26" t="str" cm="1">
        <f t="array" ref="AG26">create_pipe_construction(0,Y26,20,inclinom_wells!B2:B18,inclinom_wells!$C$2:$C$18,AA26,Z26,AB26,X26,Y26,W26,0.0001,inclinom_wells!$G$1,0)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[65,140]},"roughness_m":0.0001},"t_model":{"t_model":1,"t_list_C":{"hvert_m":[0,1000,2000,2500],"t_C":[10,35,80,95]}},"flow_correlation":0,"flow_along_coord":false,"calibr_grav":1,"calibr_fric":1,"h_start_m":0,"h_end_m":1900,"znlf":false}</v>
      </c>
      <c r="AH26" t="str" cm="1">
        <f t="array" ref="AH26">create_pipe_construction(0,Y26,20,inclinom_wells!$B$2:$B$18,inclinom_wells!$C$2:$C$18,AA26,Z26,AB26,X26,Y26,W26,0.2,inclinom_wells!$G$1,1)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[123.996,140]},"roughness_m":0.2},"t_model":{"t_model":1,"t_list_C":{"hvert_m":[0,1000,2000,2500],"t_C":[10,35,80,95]}},"flow_correlation":0,"flow_along_coord":false,"calibr_grav":1,"calibr_fric":1,"h_start_m":0,"h_end_m":1900,"znlf":false}</v>
      </c>
      <c r="AI26" t="str" cm="1">
        <f t="array" ref="AI26">create_pipe_construction(Y26,W26,20,inclinom_wells!$B$2:$B$18,inclinom_wells!$C$2:$C$18,AA26,Z26,AB26,X26,Y26,W26,0.2,inclinom_wells!$G$1,0)</f>
        <v>{"construction":{"h_list_m":{"hmes_m":[1900,1940,1980,2020,2060,2100,2140,2180,2220,2260,2300,2340,2380,2420,2460,2500,2540,2580,2620,2660,2700],"hvert_m":[1800,1831.6,1863.2,1894.4,1925.2,1956,1986,2016,2045.6,2074.8,2104,2132.4,2160.8,2188.8,2216.4,2244,2271.6,2299.2,2326.8,2354.4,2382]},"diam_list_mm":{"hmes_m":[0,1900,2700],"diam_int_mm":[65,140,140]},"roughness_m":0.2},"t_model":{"t_model":1,"t_list_C":{"hvert_m":[0,1000,2000,2500],"t_C":[10,35,80,95]}},"flow_correlation":0,"flow_along_coord":false,"calibr_grav":1,"calibr_fric":1,"h_start_m":1900,"h_end_m":2700,"znlf":false}</v>
      </c>
      <c r="AJ26" cm="1">
        <f t="array" ref="AJ26">calc_pbh($O$26,$S$26,$AG$26,$AI$26,$K$26,$AF$26,T26,0,0,$U$26)</f>
        <v>159.18</v>
      </c>
      <c r="AK26" s="4">
        <v>240</v>
      </c>
      <c r="AL26" s="4">
        <v>1.2</v>
      </c>
      <c r="AM26" t="str" cm="1">
        <f t="array" ref="AM26">[1]!encode_ipr(AK26,,,AL26,M26)</f>
        <v>{"model":"Vogel","p_res_atma":240,"t_res_C":100,"pi_sm3dayatm":1.2,"pb_atma":120,"fw_perc":0,"rp_m3m3":120}</v>
      </c>
      <c r="AN26" cm="1">
        <f t="array" ref="AN26">[1]!IPR_q_liq_sm3day(AM26,1)</f>
        <v>223.86222222222219</v>
      </c>
      <c r="AO26" s="26" cm="1">
        <f t="array" ref="AO26">NodalAnalisys(O26,S26,AG26,AI26,K26,AF26,V26,0,U26,AM26,AN26,$I$5,$I$6)</f>
        <v>88.586419340240738</v>
      </c>
    </row>
    <row r="27" spans="1:41" x14ac:dyDescent="0.25">
      <c r="A27" t="s">
        <v>174</v>
      </c>
      <c r="B27" s="4">
        <v>0.86</v>
      </c>
      <c r="C27" s="4">
        <v>1.1000000000000001</v>
      </c>
      <c r="D27" s="4">
        <v>0.8</v>
      </c>
      <c r="E27" s="4">
        <v>120</v>
      </c>
      <c r="F27" s="4">
        <v>120</v>
      </c>
      <c r="G27" s="4">
        <v>100</v>
      </c>
      <c r="H27" s="4">
        <v>1.2</v>
      </c>
      <c r="I27" s="4">
        <v>1</v>
      </c>
      <c r="J27" s="4">
        <v>0</v>
      </c>
      <c r="K27" s="16" t="str">
        <f>[1]!encode_PVT(D27,B27,C27,E27,F27,G27,H27,I27,J27)</f>
        <v>{"gamma_gas":0.8,"gamma_oil":0.86,"gamma_wat":1.1,"rsb_m3m3":120,"pb_atma":120,"t_res_C":100,"bob_m3m3":1.2,"muob_cP":1,"PVT_corr_set":0}</v>
      </c>
      <c r="L27" t="str" cm="1">
        <f t="array" ref="L27">[1]!encode_feed(0,0,0,test_calc!U27,test_calc!K27)</f>
        <v>{"gamma_gas":0.8,"gamma_oil":0.86,"gamma_wat":1.1,"rsb_m3m3":120,"pb_atma":120,"t_res_C":100,"bob_m3m3":1.2,"muob_cP":1,"PVT_corr_set":0,"q_liq_sm3day":0,"fw_perc":0,"q_gas_free_sm3day":5500}</v>
      </c>
      <c r="M27" t="str" cm="1">
        <f t="array" ref="M27">[1]!encode_feed(test_calc!T27,test_calc!V27,,,test_calc!K27)</f>
        <v>{"gamma_gas":0.8,"gamma_oil":0.86,"gamma_wat":1.1,"rsb_m3m3":120,"pb_atma":120,"t_res_C":100,"bob_m3m3":1.2,"muob_cP":1,"PVT_corr_set":0,"q_liq_sm3day":55,"fw_perc":0}</v>
      </c>
      <c r="N27" t="str" cm="1">
        <f t="array" ref="N27">[1]!encode_feed(test_calc!T27,test_calc!V27,,test_calc!U27,test_calc!K27)</f>
        <v>{"gamma_gas":0.8,"gamma_oil":0.86,"gamma_wat":1.1,"rsb_m3m3":120,"pb_atma":120,"t_res_C":100,"bob_m3m3":1.2,"muob_cP":1,"PVT_corr_set":0,"q_liq_sm3day":55,"fw_perc":0,"q_gas_free_sm3day":5500}</v>
      </c>
      <c r="O27" s="4">
        <v>30</v>
      </c>
      <c r="P27" s="8"/>
      <c r="Q27" s="8"/>
      <c r="R27" s="4">
        <v>100</v>
      </c>
      <c r="S27" s="4">
        <v>50</v>
      </c>
      <c r="T27" s="4">
        <v>55</v>
      </c>
      <c r="U27" s="4">
        <v>5500</v>
      </c>
      <c r="V27" s="4">
        <v>0</v>
      </c>
      <c r="W27" s="4">
        <v>2900</v>
      </c>
      <c r="X27" s="4">
        <v>1900</v>
      </c>
      <c r="Y27" s="4">
        <v>1900</v>
      </c>
      <c r="Z27" s="4">
        <v>140</v>
      </c>
      <c r="AA27" s="4">
        <v>65</v>
      </c>
      <c r="AB27" s="4">
        <v>40</v>
      </c>
      <c r="AC27" s="4">
        <v>15</v>
      </c>
      <c r="AD27" s="4">
        <v>16</v>
      </c>
      <c r="AE27" s="4">
        <v>5</v>
      </c>
      <c r="AF27" s="15" t="s">
        <v>119</v>
      </c>
      <c r="AG27" t="str" cm="1">
        <f t="array" ref="AG27">create_pipe_construction(0,Y27,20,inclinom_wells!$B$2:$B$18,inclinom_wells!$C$2:$C$18,AA27,Z27,AB27,X27,Y27,W27,0.0001,inclinom_wells!$G$1,0)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[65,140]},"roughness_m":0.0001},"t_model":{"t_model":1,"t_list_C":{"hvert_m":[0,1000,2000,2500],"t_C":[10,35,80,95]}},"flow_correlation":0,"flow_along_coord":false,"calibr_grav":1,"calibr_fric":1,"h_start_m":0,"h_end_m":1900,"znlf":false}</v>
      </c>
      <c r="AH27" t="str" cm="1">
        <f t="array" ref="AH27">create_pipe_construction(0,Y27,20,inclinom_wells!$B$2:$B$18,inclinom_wells!$C$2:$C$18,AA27,Z27,AB27,X27,Y27,W27,0.2,inclinom_wells!$G$1,1)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[123.996,140]},"roughness_m":0.2},"t_model":{"t_model":1,"t_list_C":{"hvert_m":[0,1000,2000,2500],"t_C":[10,35,80,95]}},"flow_correlation":0,"flow_along_coord":false,"calibr_grav":1,"calibr_fric":1,"h_start_m":0,"h_end_m":1900,"znlf":false}</v>
      </c>
      <c r="AI27" t="str" cm="1">
        <f t="array" ref="AI27">create_pipe_construction(Y27,W27,20,inclinom_wells!$B$2:$B$18,inclinom_wells!$C$2:$C$18,AA27,Z27,AB27,X27,Y27,W27,0.2,inclinom_wells!$G$1,0)</f>
        <v>{"construction":{"h_list_m":{"hmes_m":[1900,1950,2000,2050,2100,2150,2200,2250,2300,2350,2400,2450,2500,2550,2600,2650,2700,2750,2800,2850,2900],"hvert_m":[1800,1839.5,1879,1917.5,1956,1993.5,2031,2067.5,2104,2139.5,2175,2209.5,2244,2278.5,2313,2347.5,2382,2416.5,2451,2485.5,2520]},"diam_list_mm":{"hmes_m":[0,1900,2900],"diam_int_mm":[65,140,140]},"roughness_m":0.2},"t_model":{"t_model":1,"t_list_C":{"hvert_m":[0,1000,2000,2500],"t_C":[10,35,80,95]}},"flow_correlation":0,"flow_along_coord":false,"calibr_grav":1,"calibr_fric":1,"h_start_m":1900,"h_end_m":2900,"znlf":false}</v>
      </c>
      <c r="AJ27" cm="1">
        <f t="array" ref="AJ27">calc_pbh($O$26,$S$26,$AG$27,$AI$27,$K$26,$AF$27,T27,0,0,$U$26)</f>
        <v>170.03</v>
      </c>
      <c r="AK27" s="4">
        <v>235</v>
      </c>
      <c r="AL27" s="4">
        <v>0.9</v>
      </c>
      <c r="AM27" t="str" cm="1">
        <f t="array" ref="AM27">[1]!encode_ipr(AK27,,,AL27,M27)</f>
        <v>{"model":"Vogel","p_res_atma":235,"t_res_C":100,"pi_sm3dayatm":0.9,"pb_atma":120,"fw_perc":0,"rp_m3m3":120}</v>
      </c>
      <c r="AN27" cm="1">
        <f t="array" ref="AN27">[1]!IPR_q_liq_sm3day(AM27,1)</f>
        <v>163.39666666666665</v>
      </c>
      <c r="AO27" s="26" cm="1">
        <f t="array" ref="AO27">NodalAnalisys(O27,S27,AG27,AI27,K27,AF27,V27,0,U27,AM27,AN27,$I$5,$I$6)</f>
        <v>26.153987802173891</v>
      </c>
    </row>
    <row r="28" spans="1:41" x14ac:dyDescent="0.25">
      <c r="A28" t="s">
        <v>175</v>
      </c>
      <c r="B28" s="4">
        <v>0.86</v>
      </c>
      <c r="C28" s="4">
        <v>1.1000000000000001</v>
      </c>
      <c r="D28" s="4">
        <v>0.8</v>
      </c>
      <c r="E28" s="4">
        <v>120</v>
      </c>
      <c r="F28" s="4">
        <v>120</v>
      </c>
      <c r="G28" s="4">
        <v>100</v>
      </c>
      <c r="H28" s="4">
        <v>1.2</v>
      </c>
      <c r="I28" s="4">
        <v>1</v>
      </c>
      <c r="J28" s="4">
        <v>0</v>
      </c>
      <c r="K28" s="16" t="str">
        <f>[1]!encode_PVT(D28,B28,C28,E28,F28,G28,H28,I28,J28)</f>
        <v>{"gamma_gas":0.8,"gamma_oil":0.86,"gamma_wat":1.1,"rsb_m3m3":120,"pb_atma":120,"t_res_C":100,"bob_m3m3":1.2,"muob_cP":1,"PVT_corr_set":0}</v>
      </c>
      <c r="L28" t="str" cm="1">
        <f t="array" ref="L28">[1]!encode_feed(0,0,0,test_calc!U28,test_calc!K28)</f>
        <v>{"gamma_gas":0.8,"gamma_oil":0.86,"gamma_wat":1.1,"rsb_m3m3":120,"pb_atma":120,"t_res_C":100,"bob_m3m3":1.2,"muob_cP":1,"PVT_corr_set":0,"q_liq_sm3day":0,"fw_perc":0,"q_gas_free_sm3day":5500}</v>
      </c>
      <c r="M28" t="str" cm="1">
        <f t="array" ref="M28">[1]!encode_feed(test_calc!T28,test_calc!V28,,,test_calc!K28)</f>
        <v>{"gamma_gas":0.8,"gamma_oil":0.86,"gamma_wat":1.1,"rsb_m3m3":120,"pb_atma":120,"t_res_C":100,"bob_m3m3":1.2,"muob_cP":1,"PVT_corr_set":0,"q_liq_sm3day":55,"fw_perc":0}</v>
      </c>
      <c r="N28" t="str" cm="1">
        <f t="array" ref="N28">[1]!encode_feed(test_calc!T28,test_calc!V28,,test_calc!U28,test_calc!K28)</f>
        <v>{"gamma_gas":0.8,"gamma_oil":0.86,"gamma_wat":1.1,"rsb_m3m3":120,"pb_atma":120,"t_res_C":100,"bob_m3m3":1.2,"muob_cP":1,"PVT_corr_set":0,"q_liq_sm3day":55,"fw_perc":0,"q_gas_free_sm3day":5500}</v>
      </c>
      <c r="O28" s="4">
        <v>30</v>
      </c>
      <c r="P28" s="8"/>
      <c r="Q28" s="8"/>
      <c r="R28" s="4">
        <v>100</v>
      </c>
      <c r="S28" s="4">
        <v>50</v>
      </c>
      <c r="T28" s="4">
        <v>55</v>
      </c>
      <c r="U28" s="4">
        <v>5500</v>
      </c>
      <c r="V28" s="4">
        <v>0</v>
      </c>
      <c r="W28" s="4">
        <v>2500</v>
      </c>
      <c r="X28" s="4">
        <v>1500</v>
      </c>
      <c r="Y28" s="4">
        <v>1500</v>
      </c>
      <c r="Z28" s="4">
        <v>140</v>
      </c>
      <c r="AA28" s="4">
        <v>65</v>
      </c>
      <c r="AB28" s="4">
        <v>40</v>
      </c>
      <c r="AC28" s="4">
        <v>15</v>
      </c>
      <c r="AD28" s="4">
        <v>16</v>
      </c>
      <c r="AE28" s="4">
        <v>5</v>
      </c>
      <c r="AF28" s="15" t="s">
        <v>119</v>
      </c>
      <c r="AG28" t="str" cm="1">
        <f t="array" ref="AG28">create_pipe_construction(0,Y28,20,inclinom_wells!$B$2:$B$18,inclinom_wells!$C$2:$C$18,AA28,Z28,AB28,X28,Y28,W28,0.0001,inclinom_wells!$G$1,0)</f>
        <v>{"construction":{"h_list_m":{"hmes_m":[0,75,150,225,300,375,450,525,600,675,750,825,900,975,1050,1125,1200,1275,1350,1425,1500],"hvert_m":[0,75,150,225,300,375,450,525,600,675,750,825,900,975,1048,1119.75,1191,1260.75,1329.5,1397.25,1464]},"diam_list_mm":{"hmes_m":[0,1500],"diam_int_mm":[65,140]},"roughness_m":0.0001},"t_model":{"t_model":1,"t_list_C":{"hvert_m":[0,1000,2000,2500],"t_C":[10,35,80,95]}},"flow_correlation":0,"flow_along_coord":false,"calibr_grav":1,"calibr_fric":1,"h_start_m":0,"h_end_m":1500,"znlf":false}</v>
      </c>
      <c r="AH28" t="str" cm="1">
        <f t="array" ref="AH28">create_pipe_construction(0,Y28,20,inclinom_wells!$B$2:$B$18,inclinom_wells!$C$2:$C$18,AA28,Z28,AB28,X28,Y28,W28,0.2,inclinom_wells!$G$1,1)</f>
        <v>{"construction":{"h_list_m":{"hmes_m":[0,75,150,225,300,375,450,525,600,675,750,825,900,975,1050,1125,1200,1275,1350,1425,1500],"hvert_m":[0,75,150,225,300,375,450,525,600,675,750,825,900,975,1048,1119.75,1191,1260.75,1329.5,1397.25,1464]},"diam_list_mm":{"hmes_m":[0,1500],"diam_int_mm":[123.996,140]},"roughness_m":0.2},"t_model":{"t_model":1,"t_list_C":{"hvert_m":[0,1000,2000,2500],"t_C":[10,35,80,95]}},"flow_correlation":0,"flow_along_coord":false,"calibr_grav":1,"calibr_fric":1,"h_start_m":0,"h_end_m":1500,"znlf":false}</v>
      </c>
      <c r="AI28" t="str" cm="1">
        <f t="array" ref="AI28">create_pipe_construction(Y28,W28,20,inclinom_wells!$B$2:$B$18,inclinom_wells!$C$2:$C$18,AA28,Z28,AB28,X28,Y28,W28,0.2,inclinom_wells!$G$1,0)</f>
        <v>{"construction":{"h_list_m":{"hmes_m":[1500,1550,1600,1650,1700,1750,1800,1850,1900,1950,2000,2050,2100,2150,2200,2250,2300,2350,2400,2450,2500],"hvert_m":[1464,1507.5,1551,1593.5,1636,1677.5,1719,1759.5,1800,1839.5,1879,1917.5,1956,1993.5,2031,2067.5,2104,2139.5,2175,2209.5,2244]},"diam_list_mm":{"hmes_m":[0,1500,2500],"diam_int_mm":[65,140,140]},"roughness_m":0.2},"t_model":{"t_model":1,"t_list_C":{"hvert_m":[0,1000,2000,2500],"t_C":[10,35,80,95]}},"flow_correlation":0,"flow_along_coord":false,"calibr_grav":1,"calibr_fric":1,"h_start_m":1500,"h_end_m":2500,"znlf":false}</v>
      </c>
      <c r="AJ28" cm="1">
        <f t="array" ref="AJ28">calc_pbh($O$26,$S$26,$AG$28,$AI$28,$K$26,$AF$28,T28,0,0,$U$26)</f>
        <v>153.428</v>
      </c>
      <c r="AK28" s="4">
        <v>220</v>
      </c>
      <c r="AL28" s="4">
        <v>5</v>
      </c>
      <c r="AM28" t="str" cm="1">
        <f t="array" ref="AM28">[1]!encode_ipr(AK28,,,AL28,M28)</f>
        <v>{"model":"Vogel","p_res_atma":220,"t_res_C":100,"pi_sm3dayatm":5,"pb_atma":120,"fw_perc":0,"rp_m3m3":120}</v>
      </c>
      <c r="AN28" cm="1">
        <f t="array" ref="AN28">[1]!IPR_q_liq_sm3day(AM28,1)</f>
        <v>832.75925925925924</v>
      </c>
      <c r="AO28" s="26" cm="1">
        <f t="array" ref="AO28">NodalAnalisys(O28,S28,AG28,AI28,K28,AF28,V28,0,U28,AM28,AN28,$I$5,$I$6)</f>
        <v>192.74850002427783</v>
      </c>
    </row>
    <row r="35" spans="23:43" ht="18" x14ac:dyDescent="0.35">
      <c r="W35" t="s">
        <v>41</v>
      </c>
      <c r="X35">
        <v>0.1</v>
      </c>
      <c r="Z35" s="9" t="s">
        <v>86</v>
      </c>
      <c r="AC35" t="s">
        <v>180</v>
      </c>
      <c r="AD35" t="s">
        <v>181</v>
      </c>
      <c r="AE35" t="s">
        <v>182</v>
      </c>
      <c r="AH35" t="s">
        <v>183</v>
      </c>
      <c r="AI35" t="s">
        <v>184</v>
      </c>
      <c r="AL35" t="s">
        <v>185</v>
      </c>
      <c r="AM35" t="s">
        <v>186</v>
      </c>
      <c r="AN35" t="s">
        <v>187</v>
      </c>
      <c r="AO35" t="s">
        <v>188</v>
      </c>
      <c r="AP35" t="s">
        <v>189</v>
      </c>
      <c r="AQ35" t="s">
        <v>190</v>
      </c>
    </row>
    <row r="36" spans="23:43" x14ac:dyDescent="0.25">
      <c r="Z36">
        <f>X26</f>
        <v>1900</v>
      </c>
      <c r="AA36" t="str" cm="1">
        <f t="array" ref="AA36">create_pipe_construction(0,Z36,20,inclinom_wells!$B$2:$B$18,inclinom_wells!$C$2:$C$18,$AA$26,$Z$26,$AB$26,$X$26,Z36,$W$26,0.0001,inclinom_wells!$G$1,0)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[65,140]},"roughness_m":0.0001},"t_model":{"t_model":1,"t_list_C":{"hvert_m":[0,1000,2000,2500],"t_C":[10,35,80,95]}},"flow_correlation":0,"flow_along_coord":false,"calibr_grav":1,"calibr_fric":1,"h_start_m":0,"h_end_m":1900,"znlf":false}</v>
      </c>
      <c r="AB36" t="str" cm="1">
        <f t="array" ref="AB36">create_pipe_construction(0,Z36,20,inclinom_wells!$B$2:$B$18,inclinom_wells!$C$2:$C$18,$AA$26,$Z$26,$AB$26,$X$26,Z36,$W$26,0.0001,inclinom_wells!$G$1,1)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[123.996,140]},"roughness_m":0.0001},"t_model":{"t_model":1,"t_list_C":{"hvert_m":[0,1000,2000,2500],"t_C":[10,35,80,95]}},"flow_correlation":0,"flow_along_coord":false,"calibr_grav":1,"calibr_fric":1,"h_start_m":0,"h_end_m":1900,"znlf":false}</v>
      </c>
      <c r="AC36" cm="1">
        <f t="array" ref="AC36">[1]!MF_pipe_p_atma($O$26,$S$26,AA36,$N$26,1,,$T$26,$V$26,0,$U$26)</f>
        <v>112.57899999999999</v>
      </c>
      <c r="AD36" cm="1">
        <f t="array" ref="AD36">MF_pipe_p_atma($R$26,$S$26,AB36,$L$26,1,,0,0,0,$U$26)</f>
        <v>128.65600000000001</v>
      </c>
      <c r="AE36">
        <f>AD36-AC36</f>
        <v>16.077000000000012</v>
      </c>
      <c r="AF36" t="str" cm="1">
        <f t="array" ref="AF36">create_pipe_construction(0,Z36+$X$35,20,inclinom_wells!$B$2:$B$18,inclinom_wells!$C$2:$C$18,$AA$26,$Z$26,$AB$26,$X$26,Z36+$X$35,$W$26,0.0001,inclinom_wells!$G$1,1)</f>
        <v>{"construction":{"h_list_m":{"hmes_m":[0,95.005,190.01,285.015,380.02,475.025,570.03,665.035,760.04,855.045,950.05,1045.055,1140.06,1235.065,1330.07,1425.075,1520.08,1615.085,1710.09,1805.095,1900.1],"hvert_m":[0,95.005,190.01,285.015,380.02,475.025,570.03,665.035,760.04,855.045,950.05,1043.253,1134.057,1223.61,1311.364,1397.317,1481.47,1563.822,1644.375,1723.127,1800.079]},"diam_list_mm":{"hmes_m":[0,1900,1900.1],"diam_int_mm":[123.996,40,140]},"roughness_m":0.0001},"t_model":{"t_model":1,"t_list_C":{"hvert_m":[0,1000,2000,2500],"t_C":[10,35,80,95]}},"flow_correlation":0,"flow_along_coord":false,"calibr_grav":1,"calibr_fric":1,"h_start_m":0,"h_end_m":1900.1,"znlf":false}</v>
      </c>
      <c r="AG36" t="str" cm="1">
        <f t="array" ref="AG36">create_pipe_construction(0,Z36+$X$35,20,inclinom_wells!$B$2:$B$18,inclinom_wells!$C$2:$C$18,$AA$26,$Z$26,$AB$26,$X$26,Z36+$X$35,$W$26,0.0001,inclinom_wells!$G$1,0)</f>
        <v>{"construction":{"h_list_m":{"hmes_m":[0,95.005,190.01,285.015,380.02,475.025,570.03,665.035,760.04,855.045,950.05,1045.055,1140.06,1235.065,1330.07,1425.075,1520.08,1615.085,1710.09,1805.095,1900.1],"hvert_m":[0,95.005,190.01,285.015,380.02,475.025,570.03,665.035,760.04,855.045,950.05,1043.253,1134.057,1223.61,1311.364,1397.317,1481.47,1563.822,1644.375,1723.127,1800.079]},"diam_list_mm":{"hmes_m":[0,1900,1900.1],"diam_int_mm":[65,51.235,140]},"roughness_m":0.0001},"t_model":{"t_model":1,"t_list_C":{"hvert_m":[0,1000,2000,2500],"t_C":[10,35,80,95]}},"flow_correlation":0,"flow_along_coord":false,"calibr_grav":1,"calibr_fric":1,"h_start_m":0,"h_end_m":1900.1,"znlf":false}</v>
      </c>
      <c r="AH36" cm="1">
        <f t="array" ref="AH36">[1]!MF_pipe_p_atma($O$26,$S$26,AF36,$N$26,1,,$T$26,$V$26,0,$U$26)</f>
        <v>171.23599999999999</v>
      </c>
      <c r="AI36" cm="1">
        <f t="array" ref="AI36">MF_pipe_p_atma($R$26,$S$26,AG36,$L$26,1,,0,0,0,$U$26)</f>
        <v>128.66499999999999</v>
      </c>
      <c r="AJ36" t="str" cm="1">
        <f t="array" ref="AJ36">create_pipe_construction(0,Z36-$X$35,20,inclinom_wells!$B$2:$B$18,inclinom_wells!$C$2:$C$18,$AA$26,$Z$26,$AB$26,$X$26,Z36-$X$35,$W$26,0.0001,inclinom_wells!$G$1,1)</f>
        <v>{"construction":{"h_list_m":{"hmes_m":[0,94.995,189.99,284.985,379.98,474.975,569.97,664.965,759.96,854.955,949.95,1044.945,1139.94,1234.935,1329.93,1424.925,1519.92,1614.915,1709.91,1804.905,1899.9],"hvert_m":[0,94.995,189.99,284.985,379.98,474.975,569.97,664.965,759.96,854.955,949.95,1043.147,1133.943,1223.49,1311.236,1397.183,1481.33,1563.678,1644.225,1722.973,1799.919]},"diam_list_mm":{"hmes_m":[0,1899.9],"diam_int_mm":[123.996,140]},"roughness_m":0.0001},"t_model":{"t_model":1,"t_list_C":{"hvert_m":[0,1000,2000,2500],"t_C":[10,35,80,95]}},"flow_correlation":0,"flow_along_coord":false,"calibr_grav":1,"calibr_fric":1,"h_start_m":0,"h_end_m":1899.9,"znlf":false}</v>
      </c>
      <c r="AK36" t="str" cm="1">
        <f t="array" ref="AK36">create_pipe_construction(0,Z36-$X$35,20,inclinom_wells!$B$2:$B$18,inclinom_wells!$C$2:$C$18,$AA$26,$Z$26,$AB$26,$X$26,Z36-$X$35,$W$26,0.0001,inclinom_wells!$G$1,0)</f>
        <v>{"construction":{"h_list_m":{"hmes_m":[0,94.995,189.99,284.985,379.98,474.975,569.97,664.965,759.96,854.955,949.95,1044.945,1139.94,1234.935,1329.93,1424.925,1519.92,1614.915,1709.91,1804.905,1899.9],"hvert_m":[0,94.995,189.99,284.985,379.98,474.975,569.97,664.965,759.96,854.955,949.95,1043.147,1133.943,1223.49,1311.236,1397.183,1481.33,1563.678,1644.225,1722.973,1799.919]},"diam_list_mm":{"hmes_m":[0,1899.9],"diam_int_mm":[65,140]},"roughness_m":0.0001},"t_model":{"t_model":1,"t_list_C":{"hvert_m":[0,1000,2000,2500],"t_C":[10,35,80,95]}},"flow_correlation":0,"flow_along_coord":false,"calibr_grav":1,"calibr_fric":1,"h_start_m":0,"h_end_m":1899.9,"znlf":false}</v>
      </c>
      <c r="AL36" cm="1">
        <f t="array" ref="AL36">[1]!MF_pipe_p_atma($O$26,$S$26,AJ36,$N$26,1,,$T$26,$V$26,0,$U$26)</f>
        <v>171.226</v>
      </c>
      <c r="AM36" cm="1">
        <f t="array" ref="AM36">MF_pipe_p_atma($R$26,$S$26,AK36,$L$26,1,,0,0,0,$U$26)</f>
        <v>128.66300000000001</v>
      </c>
      <c r="AN36">
        <f>AI36-AH36</f>
        <v>-42.570999999999998</v>
      </c>
      <c r="AO36">
        <f>AM36-AL36</f>
        <v>-42.562999999999988</v>
      </c>
      <c r="AP36">
        <f>(AN36-AO36)/2/$X$35</f>
        <v>-4.0000000000048885E-2</v>
      </c>
      <c r="AQ36">
        <f>AE36/AP36</f>
        <v>-401.92499999950911</v>
      </c>
    </row>
    <row r="37" spans="23:43" x14ac:dyDescent="0.25">
      <c r="Z37">
        <f>Z36-AQ36</f>
        <v>2301.9249999995091</v>
      </c>
      <c r="AA37" t="str" cm="1">
        <f t="array" ref="AA37">create_pipe_construction(0,Z37,20,inclinom_wells!$B$2:$B$18,inclinom_wells!$C$2:$C$18,$AA$26,$Z$26,$AB$26,$X$26,Z37,$W$26,0.0001,inclinom_wells!$G$1,0)</f>
        <v>{"construction":{"h_list_m":{"hmes_m":[0,115.096,230.192,345.289,460.385,575.481,690.577,805.674,920.77,1035.866,1150.962,1266.059,1381.155,1496.251,1611.347,1726.444,1841.54,1956.636,2071.732,2186.829,2301.925],"hvert_m":[0,115.096,230.192,345.289,460.385,575.481,690.577,805.674,920.77,1034.432,1144.414,1252.435,1357.851,1460.664,1560.645,1657.948,1752.647,1844.743,1934.234,2021.122,2105.367]},"diam_list_mm":{"hmes_m":[0,1900,2301.925],"diam_int_mm":[65,51.235,140]},"roughness_m":0.0001},"t_model":{"t_model":1,"t_list_C":{"hvert_m":[0,1000,2000,2500],"t_C":[10,35,80,95]}},"flow_correlation":0,"flow_along_coord":false,"calibr_grav":1,"calibr_fric":1,"h_start_m":0,"h_end_m":2301.92499999951,"znlf":false}</v>
      </c>
      <c r="AB37" t="str" cm="1">
        <f t="array" ref="AB37">create_pipe_construction(0,Z37,20,inclinom_wells!$B$2:$B$18,inclinom_wells!$C$2:$C$18,$AA$26,$Z$26,$AB$26,$X$26,Z37,$W$26,0.0001,inclinom_wells!$G$1,1)</f>
        <v>{"construction":{"h_list_m":{"hmes_m":[0,115.096,230.192,345.289,460.385,575.481,690.577,805.674,920.77,1035.866,1150.962,1266.059,1381.155,1496.251,1611.347,1726.444,1841.54,1956.636,2071.732,2186.829,2301.925],"hvert_m":[0,115.096,230.192,345.289,460.385,575.481,690.577,805.674,920.77,1034.432,1144.414,1252.435,1357.851,1460.664,1560.645,1657.948,1752.647,1844.743,1934.234,2021.122,2105.367]},"diam_list_mm":{"hmes_m":[0,1900,2301.925],"diam_int_mm":[123.996,40,140]},"roughness_m":0.0001},"t_model":{"t_model":1,"t_list_C":{"hvert_m":[0,1000,2000,2500],"t_C":[10,35,80,95]}},"flow_correlation":0,"flow_along_coord":false,"calibr_grav":1,"calibr_fric":1,"h_start_m":0,"h_end_m":2301.92499999951,"znlf":false}</v>
      </c>
      <c r="AC37" cm="1">
        <f t="array" ref="AC37">MF_pipe_p_atma($O$26,$S$26,AA37,$N$26,1,,$T$26,$V$26,0,$U$26)</f>
        <v>131.27500000000001</v>
      </c>
      <c r="AD37" cm="1">
        <f t="array" ref="AD37">MF_pipe_p_atma($R$26,$S$26,AB37,$L$26,1,,0,0,0,$U$26)</f>
        <v>132.66900000000001</v>
      </c>
      <c r="AE37">
        <f t="shared" ref="AE37" si="0">AD37-AC37</f>
        <v>1.3940000000000055</v>
      </c>
      <c r="AF37" t="str" cm="1">
        <f t="array" ref="AF37">create_pipe_construction(0,Z37+$X$35,20,inclinom_wells!$B$2:$B$18,inclinom_wells!$C$2:$C$18,$AA$26,$Z$26,$AB$26,$X$26,Z37+$X$35,$W$26,0.0001,inclinom_wells!$G$1,1)</f>
        <v>{"construction":{"h_list_m":{"hmes_m":[0,115.101,230.202,345.304,460.405,575.506,690.607,805.709,920.81,1035.911,1151.012,1266.114,1381.215,1496.316,1611.417,1726.519,1841.62,1956.721,2071.822,2186.924,2302.025],"hvert_m":[0,115.101,230.202,345.304,460.405,575.506,690.607,805.709,920.81,1034.475,1144.462,1252.486,1357.906,1460.721,1560.705,1658.011,1752.712,1844.81,1934.303,2021.193,2105.438]},"diam_list_mm":{"hmes_m":[0,1900,2302.025],"diam_int_mm":[123.996,40,140]},"roughness_m":0.0001},"t_model":{"t_model":1,"t_list_C":{"hvert_m":[0,1000,2000,2500],"t_C":[10,35,80,95]}},"flow_correlation":0,"flow_along_coord":false,"calibr_grav":1,"calibr_fric":1,"h_start_m":0,"h_end_m":2302.02499999951,"znlf":false}</v>
      </c>
      <c r="AG37" t="str" cm="1">
        <f t="array" ref="AG37">create_pipe_construction(0,Z37+$X$35,20,inclinom_wells!$B$2:$B$18,inclinom_wells!$C$2:$C$18,$AA$26,$Z$26,$AB$26,$X$26,Z37+$X$35,$W$26,0.0001,inclinom_wells!$G$1,0)</f>
        <v>{"construction":{"h_list_m":{"hmes_m":[0,115.101,230.202,345.304,460.405,575.506,690.607,805.709,920.81,1035.911,1151.012,1266.114,1381.215,1496.316,1611.417,1726.519,1841.62,1956.721,2071.822,2186.924,2302.025],"hvert_m":[0,115.101,230.202,345.304,460.405,575.506,690.607,805.709,920.81,1034.475,1144.462,1252.486,1357.906,1460.721,1560.705,1658.011,1752.712,1844.81,1934.303,2021.193,2105.438]},"diam_list_mm":{"hmes_m":[0,1900,2302.025],"diam_int_mm":[65,51.235,140]},"roughness_m":0.0001},"t_model":{"t_model":1,"t_list_C":{"hvert_m":[0,1000,2000,2500],"t_C":[10,35,80,95]}},"flow_correlation":0,"flow_along_coord":false,"calibr_grav":1,"calibr_fric":1,"h_start_m":0,"h_end_m":2302.02499999951,"znlf":false}</v>
      </c>
      <c r="AH37" cm="1">
        <f t="array" ref="AH37">[1]!MF_pipe_p_atma($O$26,$S$26,AF37,$N$26,1,,$T$26,$V$26,0,$U$26)</f>
        <v>191.52500000000001</v>
      </c>
      <c r="AI37" cm="1">
        <f t="array" ref="AI37">MF_pipe_p_atma($R$26,$S$26,AG37,$L$26,1,,0,0,0,$U$26)</f>
        <v>132.66200000000001</v>
      </c>
      <c r="AJ37" t="str" cm="1">
        <f t="array" ref="AJ37">create_pipe_construction(0,Z37-$X$35,20,inclinom_wells!$B$2:$B$18,inclinom_wells!$C$2:$C$18,$AA$26,$Z$26,$AB$26,$X$26,Z37-$X$35,$W$26,0.0001,inclinom_wells!$G$1,1)</f>
        <v>{"construction":{"h_list_m":{"hmes_m":[0,115.091,230.182,345.274,460.365,575.456,690.547,805.639,920.73,1035.821,1150.912,1266.004,1381.095,1496.186,1611.277,1726.369,1841.46,1956.551,2071.642,2186.734,2301.825],"hvert_m":[0,115.091,230.182,345.274,460.365,575.456,690.547,805.639,920.73,1034.388,1144.367,1252.383,1357.796,1460.606,1560.586,1657.886,1752.583,1844.675,1934.165,2021.05,2105.296]},"diam_list_mm":{"hmes_m":[0,1900,2301.825],"diam_int_mm":[123.996,40,140]},"roughness_m":0.0001},"t_model":{"t_model":1,"t_list_C":{"hvert_m":[0,1000,2000,2500],"t_C":[10,35,80,95]}},"flow_correlation":0,"flow_along_coord":false,"calibr_grav":1,"calibr_fric":1,"h_start_m":0,"h_end_m":2301.82499999951,"znlf":false}</v>
      </c>
      <c r="AK37" t="str" cm="1">
        <f t="array" ref="AK37">create_pipe_construction(0,Z37-$X$35,20,inclinom_wells!$B$2:$B$18,inclinom_wells!$C$2:$C$18,$AA$26,$Z$26,$AB$26,$X$26,Z37-$X$35,$W$26,0.0001,inclinom_wells!$G$1,0)</f>
        <v>{"construction":{"h_list_m":{"hmes_m":[0,115.091,230.182,345.274,460.365,575.456,690.547,805.639,920.73,1035.821,1150.912,1266.004,1381.095,1496.186,1611.277,1726.369,1841.46,1956.551,2071.642,2186.734,2301.825],"hvert_m":[0,115.091,230.182,345.274,460.365,575.456,690.547,805.639,920.73,1034.388,1144.367,1252.383,1357.796,1460.606,1560.586,1657.886,1752.583,1844.675,1934.165,2021.05,2105.296]},"diam_list_mm":{"hmes_m":[0,1900,2301.825],"diam_int_mm":[65,51.235,140]},"roughness_m":0.0001},"t_model":{"t_model":1,"t_list_C":{"hvert_m":[0,1000,2000,2500],"t_C":[10,35,80,95]}},"flow_correlation":0,"flow_along_coord":false,"calibr_grav":1,"calibr_fric":1,"h_start_m":0,"h_end_m":2301.82499999951,"znlf":false}</v>
      </c>
      <c r="AL37" cm="1">
        <f t="array" ref="AL37">[1]!MF_pipe_p_atma($O$26,$S$26,AJ37,$N$26,1,,$T$26,$V$26,0,$U$26)</f>
        <v>191.518</v>
      </c>
      <c r="AM37" cm="1">
        <f t="array" ref="AM37">MF_pipe_p_atma($R$26,$S$26,AK37,$L$26,1,,0,0,0,$U$26)</f>
        <v>132.66</v>
      </c>
      <c r="AN37">
        <f>AI37-AH37</f>
        <v>-58.863</v>
      </c>
      <c r="AO37">
        <f t="shared" ref="AO37" si="1">AM37-AL37</f>
        <v>-58.858000000000004</v>
      </c>
      <c r="AP37">
        <f>(AN37-AO37)/2/$X$35</f>
        <v>-2.4999999999977263E-2</v>
      </c>
      <c r="AQ37">
        <f>AE37/AP37</f>
        <v>-55.76000000005093</v>
      </c>
    </row>
    <row r="38" spans="23:43" x14ac:dyDescent="0.25">
      <c r="Z38">
        <f>Z37-AQ37</f>
        <v>2357.6849999995602</v>
      </c>
      <c r="AA38" t="str" cm="1">
        <f t="array" ref="AA38">create_pipe_construction(0,Z38,20,inclinom_wells!$B$2:$B$18,inclinom_wells!$C$2:$C$18,$AA$26,$Z$26,$AB$26,$X$26,Z38,$W$26,0.0001,inclinom_wells!$G$1,0)</f>
        <v>{"construction":{"h_list_m":{"hmes_m":[0,117.884,235.768,353.653,471.537,589.421,707.305,825.19,943.074,1060.958,1178.842,1296.727,1414.611,1532.495,1650.379,1768.264,1886.148,2004.032,2121.916,2239.801,2357.685],"hvert_m":[0,117.884,235.768,353.653,471.537,589.421,707.305,825.19,943.074,1058.52,1170.9,1280.956,1388.004,1492.271,1593.823,1692.659,1788.78,1882.105,1972.437,2060.055,2144.956]},"diam_list_mm":{"hmes_m":[0,1900,2357.685],"diam_int_mm":[65,51.235,140]},"roughness_m":0.0001},"t_model":{"t_model":1,"t_list_C":{"hvert_m":[0,1000,2000,2500],"t_C":[10,35,80,95]}},"flow_correlation":0,"flow_along_coord":false,"calibr_grav":1,"calibr_fric":1,"h_start_m":0,"h_end_m":2357.68499999956,"znlf":false}</v>
      </c>
      <c r="AB38" t="str" cm="1">
        <f t="array" ref="AB38">create_pipe_construction(0,Z38,20,inclinom_wells!$B$2:$B$18,inclinom_wells!$C$2:$C$18,$AA$26,$Z$26,$AB$26,$X$26,Z38,$W$26,0.0001,inclinom_wells!$G$1,1)</f>
        <v>{"construction":{"h_list_m":{"hmes_m":[0,117.884,235.768,353.653,471.537,589.421,707.305,825.19,943.074,1060.958,1178.842,1296.727,1414.611,1532.495,1650.379,1768.264,1886.148,2004.032,2121.916,2239.801,2357.685],"hvert_m":[0,117.884,235.768,353.653,471.537,589.421,707.305,825.19,943.074,1058.52,1170.9,1280.956,1388.004,1492.271,1593.823,1692.659,1788.78,1882.105,1972.437,2060.055,2144.956]},"diam_list_mm":{"hmes_m":[0,1900,2357.685],"diam_int_mm":[123.996,40,140]},"roughness_m":0.0001},"t_model":{"t_model":1,"t_list_C":{"hvert_m":[0,1000,2000,2500],"t_C":[10,35,80,95]}},"flow_correlation":0,"flow_along_coord":false,"calibr_grav":1,"calibr_fric":1,"h_start_m":0,"h_end_m":2357.68499999956,"znlf":false}</v>
      </c>
      <c r="AC38" cm="1">
        <f t="array" ref="AC38">[1]!MF_pipe_p_atma($O$26,$S$26,AA38,$N$26,1,,$T$26,$V$26,0,$U$26)</f>
        <v>133.935</v>
      </c>
      <c r="AD38" cm="1">
        <f t="array" ref="AD38">MF_pipe_p_atma($R$26,$S$26,AB38,$L$26,1,,0,0,0,$U$26)</f>
        <v>133.20500000000001</v>
      </c>
      <c r="AE38">
        <f t="shared" ref="AE38:AE39" si="2">AD38-AC38</f>
        <v>-0.72999999999998977</v>
      </c>
      <c r="AF38" t="str" cm="1">
        <f t="array" ref="AF38">create_pipe_construction(0,Z38+$X$35,20,inclinom_wells!$B$2:$B$18,inclinom_wells!$C$2:$C$18,$AA$26,$Z$26,$AB$26,$X$26,Z38+$X$35,$W$26,0.0001,inclinom_wells!$G$1,1)</f>
        <v>{"construction":{"h_list_m":{"hmes_m":[0,117.889,235.778,353.668,471.557,589.446,707.335,825.225,943.114,1061.003,1178.892,1296.782,1414.671,1532.56,1650.449,1768.339,1886.228,2004.117,2122.006,2239.896,2357.785],"hvert_m":[0,117.889,235.778,353.668,471.557,589.446,707.335,825.225,943.114,1058.563,1170.948,1281.007,1388.057,1492.327,1593.882,1692.721,1788.845,1882.17,1972.505,2060.124,2145.027]},"diam_list_mm":{"hmes_m":[0,1900,2357.785],"diam_int_mm":[123.996,40,140]},"roughness_m":0.0001},"t_model":{"t_model":1,"t_list_C":{"hvert_m":[0,1000,2000,2500],"t_C":[10,35,80,95]}},"flow_correlation":0,"flow_along_coord":false,"calibr_grav":1,"calibr_fric":1,"h_start_m":0,"h_end_m":2357.78499999956,"znlf":false}</v>
      </c>
      <c r="AG38" t="str" cm="1">
        <f t="array" ref="AG38">create_pipe_construction(0,Z38+$X$35,20,inclinom_wells!$B$2:$B$18,inclinom_wells!$C$2:$C$18,$AA$26,$Z$26,$AB$26,$X$26,Z38+$X$35,$W$26,0.0001,inclinom_wells!$G$1,0)</f>
        <v>{"construction":{"h_list_m":{"hmes_m":[0,117.889,235.778,353.668,471.557,589.446,707.335,825.225,943.114,1061.003,1178.892,1296.782,1414.671,1532.56,1650.449,1768.339,1886.228,2004.117,2122.006,2239.896,2357.785],"hvert_m":[0,117.889,235.778,353.668,471.557,589.446,707.335,825.225,943.114,1058.563,1170.948,1281.007,1388.057,1492.327,1593.882,1692.721,1788.845,1882.17,1972.505,2060.124,2145.027]},"diam_list_mm":{"hmes_m":[0,1900,2357.785],"diam_int_mm":[65,51.235,140]},"roughness_m":0.0001},"t_model":{"t_model":1,"t_list_C":{"hvert_m":[0,1000,2000,2500],"t_C":[10,35,80,95]}},"flow_correlation":0,"flow_along_coord":false,"calibr_grav":1,"calibr_fric":1,"h_start_m":0,"h_end_m":2357.78499999956,"znlf":false}</v>
      </c>
      <c r="AH38" cm="1">
        <f t="array" ref="AH38">[1]!MF_pipe_p_atma($O$26,$S$26,AF38,$N$26,1,,$T$26,$V$26,0,$U$26)</f>
        <v>194.286</v>
      </c>
      <c r="AI38" cm="1">
        <f t="array" ref="AI38">MF_pipe_p_atma($R$26,$S$26,AG38,$L$26,1,,0,0,0,$U$26)</f>
        <v>133.19499999999999</v>
      </c>
      <c r="AJ38" t="str" cm="1">
        <f t="array" ref="AJ38">create_pipe_construction(0,Z38-$X$35,20,inclinom_wells!$B$2:$B$18,inclinom_wells!$C$2:$C$18,$AA$26,$Z$26,$AB$26,$X$26,Z38-$X$35,$W$26,0.0001,inclinom_wells!$G$1,1)</f>
        <v>{"construction":{"h_list_m":{"hmes_m":[0,117.879,235.758,353.638,471.517,589.396,707.275,825.155,943.034,1060.913,1178.792,1296.672,1414.551,1532.43,1650.309,1768.189,1886.068,2003.947,2121.826,2239.706,2357.585],"hvert_m":[0,117.879,235.758,353.638,471.517,589.396,707.275,825.155,943.034,1058.477,1170.853,1280.905,1387.95,1492.214,1593.763,1692.597,1788.715,1882.039,1972.37,2059.985,2144.885]},"diam_list_mm":{"hmes_m":[0,1900,2357.585],"diam_int_mm":[123.996,40,140]},"roughness_m":0.0001},"t_model":{"t_model":1,"t_list_C":{"hvert_m":[0,1000,2000,2500],"t_C":[10,35,80,95]}},"flow_correlation":0,"flow_along_coord":false,"calibr_grav":1,"calibr_fric":1,"h_start_m":0,"h_end_m":2357.58499999956,"znlf":false}</v>
      </c>
      <c r="AK38" t="str" cm="1">
        <f t="array" ref="AK38">create_pipe_construction(0,Z38-$X$35,20,inclinom_wells!$B$2:$B$18,inclinom_wells!$C$2:$C$18,$AA$26,$Z$26,$AB$26,$X$26,Z38-$X$35,$W$26,0.0001,inclinom_wells!$G$1,0)</f>
        <v>{"construction":{"h_list_m":{"hmes_m":[0,117.879,235.758,353.638,471.517,589.396,707.275,825.155,943.034,1060.913,1178.792,1296.672,1414.551,1532.43,1650.309,1768.189,1886.068,2003.947,2121.826,2239.706,2357.585],"hvert_m":[0,117.879,235.758,353.638,471.517,589.396,707.275,825.155,943.034,1058.477,1170.853,1280.905,1387.95,1492.214,1593.763,1692.597,1788.715,1882.039,1972.37,2059.985,2144.885]},"diam_list_mm":{"hmes_m":[0,1900,2357.585],"diam_int_mm":[65,51.235,140]},"roughness_m":0.0001},"t_model":{"t_model":1,"t_list_C":{"hvert_m":[0,1000,2000,2500],"t_C":[10,35,80,95]}},"flow_correlation":0,"flow_along_coord":false,"calibr_grav":1,"calibr_fric":1,"h_start_m":0,"h_end_m":2357.58499999956,"znlf":false}</v>
      </c>
      <c r="AL38" cm="1">
        <f t="array" ref="AL38">[1]!MF_pipe_p_atma($O$26,$S$26,AJ38,$N$26,1,,$T$26,$V$26,0,$U$26)</f>
        <v>194.28</v>
      </c>
      <c r="AM38" cm="1">
        <f t="array" ref="AM38">MF_pipe_p_atma($R$26,$S$26,AK38,$L$26,1,,0,0,0,$U$26)</f>
        <v>133.19399999999999</v>
      </c>
      <c r="AN38">
        <f>AI38-AH38</f>
        <v>-61.091000000000008</v>
      </c>
      <c r="AO38">
        <f t="shared" ref="AO38:AO39" si="3">AM38-AL38</f>
        <v>-61.086000000000013</v>
      </c>
      <c r="AP38">
        <f t="shared" ref="AP38:AP39" si="4">(AN38-AO38)/2/$X$35</f>
        <v>-2.4999999999977263E-2</v>
      </c>
      <c r="AQ38">
        <f>AE38/AP38</f>
        <v>29.200000000026147</v>
      </c>
    </row>
    <row r="39" spans="23:43" x14ac:dyDescent="0.25">
      <c r="Z39">
        <f>Z38-AQ38</f>
        <v>2328.484999999534</v>
      </c>
      <c r="AA39" t="str" cm="1">
        <f t="array" ref="AA39">create_pipe_construction(0,Z39,20,inclinom_wells!$B$2:$B$18,inclinom_wells!$C$2:$C$18,$AA$26,$Z$26,$AB$26,$X$26,Z39,$W$26,0.0001,inclinom_wells!$G$1,0)</f>
        <v>{"construction":{"h_list_m":{"hmes_m":[0,116.424,232.848,349.273,465.697,582.121,698.545,814.97,931.394,1047.818,1164.242,1280.667,1397.091,1513.515,1629.939,1746.364,1862.788,1979.212,2095.636,2212.061,2328.485],"hvert_m":[0,116.424,232.848,349.273,465.697,582.121,698.545,814.97,931.394,1045.906,1157.03,1266.02,1372.353,1475.758,1576.449,1674.482,1769.858,1862.578,1952.64,2039.804,2124.224]},"diam_list_mm":{"hmes_m":[0,1900,2328.485],"diam_int_mm":[65,51.235,140]},"roughness_m":0.0001},"t_model":{"t_model":1,"t_list_C":{"hvert_m":[0,1000,2000,2500],"t_C":[10,35,80,95]}},"flow_correlation":0,"flow_along_coord":false,"calibr_grav":1,"calibr_fric":1,"h_start_m":0,"h_end_m":2328.48499999953,"znlf":false}</v>
      </c>
      <c r="AB39" t="str" cm="1">
        <f t="array" ref="AB39">create_pipe_construction(0,Z39,20,inclinom_wells!$B$2:$B$18,inclinom_wells!$C$2:$C$18,$AA$26,$Z$26,$AB$26,$X$26,Z39,$W$26,0.0001,inclinom_wells!$G$1,1)</f>
        <v>{"construction":{"h_list_m":{"hmes_m":[0,116.424,232.848,349.273,465.697,582.121,698.545,814.97,931.394,1047.818,1164.242,1280.667,1397.091,1513.515,1629.939,1746.364,1862.788,1979.212,2095.636,2212.061,2328.485],"hvert_m":[0,116.424,232.848,349.273,465.697,582.121,698.545,814.97,931.394,1045.906,1157.03,1266.02,1372.353,1475.758,1576.449,1674.482,1769.858,1862.578,1952.64,2039.804,2124.224]},"diam_list_mm":{"hmes_m":[0,1900,2328.485],"diam_int_mm":[123.996,40,140]},"roughness_m":0.0001},"t_model":{"t_model":1,"t_list_C":{"hvert_m":[0,1000,2000,2500],"t_C":[10,35,80,95]}},"flow_correlation":0,"flow_along_coord":false,"calibr_grav":1,"calibr_fric":1,"h_start_m":0,"h_end_m":2328.48499999953,"znlf":false}</v>
      </c>
      <c r="AC39" cm="1">
        <f t="array" ref="AC39">[1]!MF_pipe_p_atma($O$26,$S$26,AA39,$N$26,1,,$T$26,$V$26,0,$U$26)</f>
        <v>132.48500000000001</v>
      </c>
      <c r="AD39" cm="1">
        <f t="array" ref="AD39">MF_pipe_p_atma($R$26,$S$26,AB39,$L$26,1,,0,0,0,$U$26)</f>
        <v>132.911</v>
      </c>
      <c r="AE39">
        <f t="shared" si="2"/>
        <v>0.42599999999998772</v>
      </c>
      <c r="AF39" t="str" cm="1">
        <f t="array" ref="AF39">create_pipe_construction(0,Z39+$X$35,20,inclinom_wells!$B$2:$B$18,inclinom_wells!$C$2:$C$18,$AA$26,$Z$26,$AB$26,$X$26,Z39+$X$35,$W$26,0.0001,inclinom_wells!$G$1,1)</f>
        <v>{"construction":{"h_list_m":{"hmes_m":[0,116.429,232.858,349.288,465.717,582.146,698.575,815.005,931.434,1047.863,1164.292,1280.722,1397.151,1513.58,1630.009,1746.439,1862.868,1979.297,2095.726,2212.156,2328.585],"hvert_m":[0,116.429,232.858,349.288,465.717,582.146,698.575,815.005,931.434,1045.949,1157.078,1266.071,1372.407,1475.815,1576.508,1674.544,1769.923,1862.645,1952.709,2039.874,2124.295]},"diam_list_mm":{"hmes_m":[0,1900,2328.585],"diam_int_mm":[123.996,40,140]},"roughness_m":0.0001},"t_model":{"t_model":1,"t_list_C":{"hvert_m":[0,1000,2000,2500],"t_C":[10,35,80,95]}},"flow_correlation":0,"flow_along_coord":false,"calibr_grav":1,"calibr_fric":1,"h_start_m":0,"h_end_m":2328.58499999953,"znlf":false}</v>
      </c>
      <c r="AG39" t="str" cm="1">
        <f t="array" ref="AG39">create_pipe_construction(0,Z39+$X$35,20,inclinom_wells!$B$2:$B$18,inclinom_wells!$C$2:$C$18,$AA$26,$Z$26,$AB$26,$X$26,Z39+$X$35,$W$26,0.0001,inclinom_wells!$G$1,0)</f>
        <v>{"construction":{"h_list_m":{"hmes_m":[0,116.429,232.858,349.288,465.717,582.146,698.575,815.005,931.434,1047.863,1164.292,1280.722,1397.151,1513.58,1630.009,1746.439,1862.868,1979.297,2095.726,2212.156,2328.585],"hvert_m":[0,116.429,232.858,349.288,465.717,582.146,698.575,815.005,931.434,1045.949,1157.078,1266.071,1372.407,1475.815,1576.508,1674.544,1769.923,1862.645,1952.709,2039.874,2124.295]},"diam_list_mm":{"hmes_m":[0,1900,2328.585],"diam_int_mm":[65,51.235,140]},"roughness_m":0.0001},"t_model":{"t_model":1,"t_list_C":{"hvert_m":[0,1000,2000,2500],"t_C":[10,35,80,95]}},"flow_correlation":0,"flow_along_coord":false,"calibr_grav":1,"calibr_fric":1,"h_start_m":0,"h_end_m":2328.58499999953,"znlf":false}</v>
      </c>
      <c r="AH39" cm="1">
        <f t="array" ref="AH39">[1]!MF_pipe_p_atma($O$26,$S$26,AF39,$N$26,1,,$T$26,$V$26,0,$U$26)</f>
        <v>192.77699999999999</v>
      </c>
      <c r="AI39" cm="1">
        <f t="array" ref="AI39">MF_pipe_p_atma($R$26,$S$26,AG39,$L$26,1,,0,0,0,$U$26)</f>
        <v>132.90199999999999</v>
      </c>
      <c r="AJ39" t="str" cm="1">
        <f t="array" ref="AJ39">create_pipe_construction(0,Z39-$X$35,20,inclinom_wells!$B$2:$B$18,inclinom_wells!$C$2:$C$18,$AA$26,$Z$26,$AB$26,$X$26,Z39-$X$35,$W$26,0.0001,inclinom_wells!$G$1,1)</f>
        <v>{"construction":{"h_list_m":{"hmes_m":[0,116.419,232.838,349.258,465.677,582.096,698.515,814.935,931.354,1047.773,1164.192,1280.612,1397.031,1513.45,1629.869,1746.289,1862.708,1979.127,2095.546,2211.966,2328.385],"hvert_m":[0,116.419,232.838,349.258,465.677,582.096,698.515,814.935,931.354,1045.862,1156.983,1265.969,1372.298,1475.702,1576.389,1674.42,1769.793,1862.511,1952.571,2039.735,2124.153]},"diam_list_mm":{"hmes_m":[0,1900,2328.385],"diam_int_mm":[123.996,40,140]},"roughness_m":0.0001},"t_model":{"t_model":1,"t_list_C":{"hvert_m":[0,1000,2000,2500],"t_C":[10,35,80,95]}},"flow_correlation":0,"flow_along_coord":false,"calibr_grav":1,"calibr_fric":1,"h_start_m":0,"h_end_m":2328.38499999953,"znlf":false}</v>
      </c>
      <c r="AK39" t="str" cm="1">
        <f t="array" ref="AK39">create_pipe_construction(0,Z39-$X$35,20,inclinom_wells!$B$2:$B$18,inclinom_wells!$C$2:$C$18,$AA$26,$Z$26,$AB$26,$X$26,Z39-$X$35,$W$26,0.0001,inclinom_wells!$G$1,0)</f>
        <v>{"construction":{"h_list_m":{"hmes_m":[0,116.419,232.838,349.258,465.677,582.096,698.515,814.935,931.354,1047.773,1164.192,1280.612,1397.031,1513.45,1629.869,1746.289,1862.708,1979.127,2095.546,2211.966,2328.385],"hvert_m":[0,116.419,232.838,349.258,465.677,582.096,698.515,814.935,931.354,1045.862,1156.983,1265.969,1372.298,1475.702,1576.389,1674.42,1769.793,1862.511,1952.571,2039.735,2124.153]},"diam_list_mm":{"hmes_m":[0,1900,2328.385],"diam_int_mm":[65,51.235,140]},"roughness_m":0.0001},"t_model":{"t_model":1,"t_list_C":{"hvert_m":[0,1000,2000,2500],"t_C":[10,35,80,95]}},"flow_correlation":0,"flow_along_coord":false,"calibr_grav":1,"calibr_fric":1,"h_start_m":0,"h_end_m":2328.38499999953,"znlf":false}</v>
      </c>
      <c r="AL39" cm="1">
        <f t="array" ref="AL39">[1]!MF_pipe_p_atma($O$26,$S$26,AJ39,$N$26,1,,$T$26,$V$26,0,$U$26)</f>
        <v>192.77</v>
      </c>
      <c r="AM39" cm="1">
        <f t="array" ref="AM39">MF_pipe_p_atma($R$26,$S$26,AK39,$L$26,1,,0,0,0,$U$26)</f>
        <v>132.9</v>
      </c>
      <c r="AN39">
        <f>AI39-AH39</f>
        <v>-59.875</v>
      </c>
      <c r="AO39">
        <f t="shared" si="3"/>
        <v>-59.870000000000005</v>
      </c>
      <c r="AP39">
        <f t="shared" si="4"/>
        <v>-2.4999999999977263E-2</v>
      </c>
      <c r="AQ39">
        <f>AE39/AP39</f>
        <v>-17.040000000015006</v>
      </c>
    </row>
    <row r="40" spans="23:43" x14ac:dyDescent="0.25">
      <c r="Z40">
        <f>Z39-AQ39</f>
        <v>2345.524999999549</v>
      </c>
      <c r="AA40" t="str" cm="1">
        <f t="array" ref="AA40">create_pipe_construction(0,Z40,20,inclinom_wells!$B$2:$B$18,inclinom_wells!$C$2:$C$18,$AA$26,$Z$26,$AB$26,$X$26,Z40,$W$26,0.0001,inclinom_wells!$G$1,0)</f>
        <v>{"construction":{"h_list_m":{"hmes_m":[0,117.276,234.552,351.829,469.105,586.381,703.657,820.934,938.21,1055.486,1172.762,1290.039,1407.315,1524.591,1641.867,1759.144,1876.42,1993.696,2110.972,2228.249,2345.525],"hvert_m":[0,117.276,234.552,351.829,469.105,586.381,703.657,820.934,938.21,1053.267,1165.124,1274.736,1381.51,1485.394,1586.587,1685.089,1780.9,1874.02,1964.229,2051.622,2136.323]},"diam_list_mm":{"hmes_m":[0,1900,2345.525],"diam_int_mm":[65,51.235,140]},"roughness_m":0.0001},"t_model":{"t_model":1,"t_list_C":{"hvert_m":[0,1000,2000,2500],"t_C":[10,35,80,95]}},"flow_correlation":0,"flow_along_coord":false,"calibr_grav":1,"calibr_fric":1,"h_start_m":0,"h_end_m":2345.52499999955,"znlf":false}</v>
      </c>
      <c r="AB40" t="str" cm="1">
        <f t="array" ref="AB40">create_pipe_construction(0,Z40,20,inclinom_wells!$B$2:$B$18,inclinom_wells!$C$2:$C$18,$AA$26,$Z$26,$AB$26,$X$26,Z40,$W$26,0.0001,inclinom_wells!$G$1,1)</f>
        <v>{"construction":{"h_list_m":{"hmes_m":[0,117.276,234.552,351.829,469.105,586.381,703.657,820.934,938.21,1055.486,1172.762,1290.039,1407.315,1524.591,1641.867,1759.144,1876.42,1993.696,2110.972,2228.249,2345.525],"hvert_m":[0,117.276,234.552,351.829,469.105,586.381,703.657,820.934,938.21,1053.267,1165.124,1274.736,1381.51,1485.394,1586.587,1685.089,1780.9,1874.02,1964.229,2051.622,2136.323]},"diam_list_mm":{"hmes_m":[0,1900,2345.525],"diam_int_mm":[123.996,40,140]},"roughness_m":0.0001},"t_model":{"t_model":1,"t_list_C":{"hvert_m":[0,1000,2000,2500],"t_C":[10,35,80,95]}},"flow_correlation":0,"flow_along_coord":false,"calibr_grav":1,"calibr_fric":1,"h_start_m":0,"h_end_m":2345.52499999955,"znlf":false}</v>
      </c>
      <c r="AC40" cm="1">
        <f t="array" ref="AC40">[1]!MF_pipe_p_atma($O$26,$S$26,AA40,$N$26,1,,$T$26,$V$26,0,$U$26)</f>
        <v>133.37299999999999</v>
      </c>
      <c r="AD40" cm="1">
        <f t="array" ref="AD40">MF_pipe_p_atma($R$26,$S$26,AB40,$L$26,1,,0,0,0,$U$26)</f>
        <v>133.09299999999999</v>
      </c>
      <c r="AE40">
        <f t="shared" ref="AE40:AE47" si="5">AD40-AC40</f>
        <v>-0.28000000000000114</v>
      </c>
      <c r="AF40" t="str" cm="1">
        <f t="array" ref="AF40">create_pipe_construction(0,Z40+$X$35,20,inclinom_wells!$B$2:$B$18,inclinom_wells!$C$2:$C$18,$AA$26,$Z$26,$AB$26,$X$26,Z40+$X$35,$W$26,0.0001,inclinom_wells!$G$1,1)</f>
        <v>{"construction":{"h_list_m":{"hmes_m":[0,117.281,234.562,351.844,469.125,586.406,703.687,820.969,938.25,1055.531,1172.812,1290.094,1407.375,1524.656,1641.937,1759.219,1876.5,1993.781,2111.062,2228.344,2345.625],"hvert_m":[0,117.281,234.562,351.844,469.125,586.406,703.687,820.969,938.25,1053.31,1165.172,1274.787,1381.564,1485.451,1586.647,1685.152,1780.965,1874.087,1964.297,2051.691,2136.394]},"diam_list_mm":{"hmes_m":[0,1900,2345.625],"diam_int_mm":[123.996,40,140]},"roughness_m":0.0001},"t_model":{"t_model":1,"t_list_C":{"hvert_m":[0,1000,2000,2500],"t_C":[10,35,80,95]}},"flow_correlation":0,"flow_along_coord":false,"calibr_grav":1,"calibr_fric":1,"h_start_m":0,"h_end_m":2345.62499999955,"znlf":false}</v>
      </c>
      <c r="AG40" t="str" cm="1">
        <f t="array" ref="AG40">create_pipe_construction(0,Z40+$X$35,20,inclinom_wells!$B$2:$B$18,inclinom_wells!$C$2:$C$18,$AA$26,$Z$26,$AB$26,$X$26,Z40+$X$35,$W$26,0.0001,inclinom_wells!$G$1,0)</f>
        <v>{"construction":{"h_list_m":{"hmes_m":[0,117.281,234.562,351.844,469.125,586.406,703.687,820.969,938.25,1055.531,1172.812,1290.094,1407.375,1524.656,1641.937,1759.219,1876.5,1993.781,2111.062,2228.344,2345.625],"hvert_m":[0,117.281,234.562,351.844,469.125,586.406,703.687,820.969,938.25,1053.31,1165.172,1274.787,1381.564,1485.451,1586.647,1685.152,1780.965,1874.087,1964.297,2051.691,2136.394]},"diam_list_mm":{"hmes_m":[0,1900,2345.625],"diam_int_mm":[65,51.235,140]},"roughness_m":0.0001},"t_model":{"t_model":1,"t_list_C":{"hvert_m":[0,1000,2000,2500],"t_C":[10,35,80,95]}},"flow_correlation":0,"flow_along_coord":false,"calibr_grav":1,"calibr_fric":1,"h_start_m":0,"h_end_m":2345.62499999955,"znlf":false}</v>
      </c>
      <c r="AH40" cm="1">
        <f t="array" ref="AH40">[1]!MF_pipe_p_atma($O$26,$S$26,AF40,$N$26,1,,$T$26,$V$26,0,$U$26)</f>
        <v>193.71799999999999</v>
      </c>
      <c r="AI40" cm="1">
        <f t="array" ref="AI40">MF_pipe_p_atma($R$26,$S$26,AG40,$L$26,1,,0,0,0,$U$26)</f>
        <v>133.084</v>
      </c>
      <c r="AJ40" t="str" cm="1">
        <f t="array" ref="AJ40">create_pipe_construction(0,Z40-$X$35,20,inclinom_wells!$B$2:$B$18,inclinom_wells!$C$2:$C$18,$AA$26,$Z$26,$AB$26,$X$26,Z40-$X$35,$W$26,0.0001,inclinom_wells!$G$1,1)</f>
        <v>{"construction":{"h_list_m":{"hmes_m":[0,117.271,234.542,351.814,469.085,586.356,703.627,820.899,938.17,1055.441,1172.712,1289.984,1407.255,1524.526,1641.797,1759.069,1876.34,1993.611,2110.882,2228.154,2345.425],"hvert_m":[0,117.271,234.542,351.814,469.085,586.356,703.627,820.899,938.17,1053.224,1165.077,1274.685,1381.457,1485.338,1586.528,1685.027,1780.835,1873.953,1964.162,2051.552,2136.252]},"diam_list_mm":{"hmes_m":[0,1900,2345.425],"diam_int_mm":[123.996,40,140]},"roughness_m":0.0001},"t_model":{"t_model":1,"t_list_C":{"hvert_m":[0,1000,2000,2500],"t_C":[10,35,80,95]}},"flow_correlation":0,"flow_along_coord":false,"calibr_grav":1,"calibr_fric":1,"h_start_m":0,"h_end_m":2345.42499999955,"znlf":false}</v>
      </c>
      <c r="AK40" t="str" cm="1">
        <f t="array" ref="AK40">create_pipe_construction(0,Z40-$X$35,20,inclinom_wells!$B$2:$B$18,inclinom_wells!$C$2:$C$18,$AA$26,$Z$26,$AB$26,$X$26,Z40-$X$35,$W$26,0.0001,inclinom_wells!$G$1,0)</f>
        <v>{"construction":{"h_list_m":{"hmes_m":[0,117.271,234.542,351.814,469.085,586.356,703.627,820.899,938.17,1055.441,1172.712,1289.984,1407.255,1524.526,1641.797,1759.069,1876.34,1993.611,2110.882,2228.154,2345.425],"hvert_m":[0,117.271,234.542,351.814,469.085,586.356,703.627,820.899,938.17,1053.224,1165.077,1274.685,1381.457,1485.338,1586.528,1685.027,1780.835,1873.953,1964.162,2051.552,2136.252]},"diam_list_mm":{"hmes_m":[0,1900,2345.425],"diam_int_mm":[65,51.235,140]},"roughness_m":0.0001},"t_model":{"t_model":1,"t_list_C":{"hvert_m":[0,1000,2000,2500],"t_C":[10,35,80,95]}},"flow_correlation":0,"flow_along_coord":false,"calibr_grav":1,"calibr_fric":1,"h_start_m":0,"h_end_m":2345.42499999955,"znlf":false}</v>
      </c>
      <c r="AL40" cm="1">
        <f t="array" ref="AL40">[1]!MF_pipe_p_atma($O$26,$S$26,AJ40,$N$26,1,,$T$26,$V$26,0,$U$26)</f>
        <v>193.71100000000001</v>
      </c>
      <c r="AM40" cm="1">
        <f t="array" ref="AM40">MF_pipe_p_atma($R$26,$S$26,AK40,$L$26,1,,0,0,0,$U$26)</f>
        <v>133.083</v>
      </c>
      <c r="AN40">
        <f>AI40-AH40</f>
        <v>-60.633999999999986</v>
      </c>
      <c r="AO40">
        <f t="shared" ref="AO40:AO47" si="6">AM40-AL40</f>
        <v>-60.628000000000014</v>
      </c>
      <c r="AP40">
        <f t="shared" ref="AP40:AP47" si="7">(AN40-AO40)/2/$X$35</f>
        <v>-2.9999999999859028E-2</v>
      </c>
      <c r="AQ40">
        <f>AE40/AP40</f>
        <v>9.3333333333772295</v>
      </c>
    </row>
    <row r="41" spans="23:43" x14ac:dyDescent="0.25">
      <c r="Z41">
        <f t="shared" ref="Z41:Z47" si="8">Z40-AQ40</f>
        <v>2336.1916666661718</v>
      </c>
      <c r="AA41" t="str" cm="1">
        <f t="array" ref="AA41">create_pipe_construction(0,Z41,20,inclinom_wells!$B$2:$B$18,inclinom_wells!$C$2:$C$18,$AA$26,$Z$26,$AB$26,$X$26,Z41,$W$26,0.0001,inclinom_wells!$G$1,0)</f>
        <v>{"construction":{"h_list_m":{"hmes_m":[0,116.81,233.619,350.429,467.238,584.048,700.857,817.667,934.477,1051.286,1168.096,1284.905,1401.715,1518.525,1635.334,1752.144,1868.953,1985.763,2102.572,2219.382,2336.192],"hvert_m":[0,116.81,233.619,350.429,467.238,584.048,700.857,817.667,934.477,1049.235,1160.691,1269.962,1376.526,1480.116,1581.034,1679.279,1774.852,1867.753,1957.929,2045.149,2129.696]},"diam_list_mm":{"hmes_m":[0,1900,2336.192],"diam_int_mm":[65,51.235,140]},"roughness_m":0.0001},"t_model":{"t_model":1,"t_list_C":{"hvert_m":[0,1000,2000,2500],"t_C":[10,35,80,95]}},"flow_correlation":0,"flow_along_coord":false,"calibr_grav":1,"calibr_fric":1,"h_start_m":0,"h_end_m":2336.19166666617,"znlf":false}</v>
      </c>
      <c r="AB41" t="str" cm="1">
        <f t="array" ref="AB41">create_pipe_construction(0,Z41,20,inclinom_wells!$B$2:$B$18,inclinom_wells!$C$2:$C$18,$AA$26,$Z$26,$AB$26,$X$26,Z41,$W$26,0.0001,inclinom_wells!$G$1,1)</f>
        <v>{"construction":{"h_list_m":{"hmes_m":[0,116.81,233.619,350.429,467.238,584.048,700.857,817.667,934.477,1051.286,1168.096,1284.905,1401.715,1518.525,1635.334,1752.144,1868.953,1985.763,2102.572,2219.382,2336.192],"hvert_m":[0,116.81,233.619,350.429,467.238,584.048,700.857,817.667,934.477,1049.235,1160.691,1269.962,1376.526,1480.116,1581.034,1679.279,1774.852,1867.753,1957.929,2045.149,2129.696]},"diam_list_mm":{"hmes_m":[0,1900,2336.192],"diam_int_mm":[123.996,40,140]},"roughness_m":0.0001},"t_model":{"t_model":1,"t_list_C":{"hvert_m":[0,1000,2000,2500],"t_C":[10,35,80,95]}},"flow_correlation":0,"flow_along_coord":false,"calibr_grav":1,"calibr_fric":1,"h_start_m":0,"h_end_m":2336.19166666617,"znlf":false}</v>
      </c>
      <c r="AC41" cm="1">
        <f t="array" ref="AC41">[1]!MF_pipe_p_atma($O$26,$S$26,AA41,$N$26,1,,$T$26,$V$26,0,$U$26)</f>
        <v>133.066</v>
      </c>
      <c r="AD41" cm="1">
        <f t="array" ref="AD41">MF_pipe_p_atma($R$26,$S$26,AB41,$L$26,1,,0,0,0,$U$26)</f>
        <v>133.035</v>
      </c>
      <c r="AE41">
        <f t="shared" ref="AE41:AE47" si="9">AD41-AC41</f>
        <v>-3.1000000000005912E-2</v>
      </c>
      <c r="AF41" t="str" cm="1">
        <f t="array" ref="AF41">create_pipe_construction(0,Z41+$X$35,20,inclinom_wells!$B$2:$B$18,inclinom_wells!$C$2:$C$18,$AA$26,$Z$26,$AB$26,$X$26,Z41+$X$35,$W$26,0.0001,inclinom_wells!$G$1,1)</f>
        <v>{"construction":{"h_list_m":{"hmes_m":[0,116.815,233.629,350.444,467.258,584.073,700.887,817.702,934.517,1051.331,1168.146,1284.96,1401.775,1518.59,1635.404,1752.219,1869.033,1985.848,2102.662,2219.477,2336.292],"hvert_m":[0,116.815,233.629,350.444,467.258,584.073,700.887,817.702,934.517,1049.278,1160.739,1270.013,1376.58,1480.173,1581.094,1679.342,1774.917,1867.82,1957.997,2045.218,2129.767]},"diam_list_mm":{"hmes_m":[0,1900,2336.292],"diam_int_mm":[123.996,40,140]},"roughness_m":0.0001},"t_model":{"t_model":1,"t_list_C":{"hvert_m":[0,1000,2000,2500],"t_C":[10,35,80,95]}},"flow_correlation":0,"flow_along_coord":false,"calibr_grav":1,"calibr_fric":1,"h_start_m":0,"h_end_m":2336.29166666617,"znlf":false}</v>
      </c>
      <c r="AG41" t="str" cm="1">
        <f t="array" ref="AG41">create_pipe_construction(0,Z41+$X$35,20,inclinom_wells!$B$2:$B$18,inclinom_wells!$C$2:$C$18,$AA$26,$Z$26,$AB$26,$X$26,Z41+$X$35,$W$26,0.0001,inclinom_wells!$G$1,0)</f>
        <v>{"construction":{"h_list_m":{"hmes_m":[0,116.815,233.629,350.444,467.258,584.073,700.887,817.702,934.517,1051.331,1168.146,1284.96,1401.775,1518.59,1635.404,1752.219,1869.033,1985.848,2102.662,2219.477,2336.292],"hvert_m":[0,116.815,233.629,350.444,467.258,584.073,700.887,817.702,934.517,1049.278,1160.739,1270.013,1376.58,1480.173,1581.094,1679.342,1774.917,1867.82,1957.997,2045.218,2129.767]},"diam_list_mm":{"hmes_m":[0,1900,2336.292],"diam_int_mm":[65,51.235,140]},"roughness_m":0.0001},"t_model":{"t_model":1,"t_list_C":{"hvert_m":[0,1000,2000,2500],"t_C":[10,35,80,95]}},"flow_correlation":0,"flow_along_coord":false,"calibr_grav":1,"calibr_fric":1,"h_start_m":0,"h_end_m":2336.29166666617,"znlf":false}</v>
      </c>
      <c r="AH41" cm="1">
        <f t="array" ref="AH41">[1]!MF_pipe_p_atma($O$26,$S$26,AF41,$N$26,1,,$T$26,$V$26,0,$U$26)</f>
        <v>193.411</v>
      </c>
      <c r="AI41" cm="1">
        <f t="array" ref="AI41">MF_pipe_p_atma($R$26,$S$26,AG41,$L$26,1,,0,0,0,$U$26)</f>
        <v>133.02600000000001</v>
      </c>
      <c r="AJ41" t="str" cm="1">
        <f t="array" ref="AJ41">create_pipe_construction(0,Z41-$X$35,20,inclinom_wells!$B$2:$B$18,inclinom_wells!$C$2:$C$18,$AA$26,$Z$26,$AB$26,$X$26,Z41-$X$35,$W$26,0.0001,inclinom_wells!$G$1,1)</f>
        <v>{"construction":{"h_list_m":{"hmes_m":[0,116.805,233.609,350.414,467.218,584.023,700.827,817.632,934.437,1051.241,1168.046,1284.85,1401.655,1518.46,1635.264,1752.069,1868.873,1985.678,2102.482,2219.287,2336.092],"hvert_m":[0,116.805,233.609,350.414,467.218,584.023,700.827,817.632,934.437,1049.192,1160.644,1269.911,1376.473,1480.06,1580.975,1679.217,1774.787,1867.686,1957.862,2045.08,2129.625]},"diam_list_mm":{"hmes_m":[0,1900,2336.092],"diam_int_mm":[123.996,40,140]},"roughness_m":0.0001},"t_model":{"t_model":1,"t_list_C":{"hvert_m":[0,1000,2000,2500],"t_C":[10,35,80,95]}},"flow_correlation":0,"flow_along_coord":false,"calibr_grav":1,"calibr_fric":1,"h_start_m":0,"h_end_m":2336.09166666617,"znlf":false}</v>
      </c>
      <c r="AK41" t="str" cm="1">
        <f t="array" ref="AK41">create_pipe_construction(0,Z41-$X$35,20,inclinom_wells!$B$2:$B$18,inclinom_wells!$C$2:$C$18,$AA$26,$Z$26,$AB$26,$X$26,Z41-$X$35,$W$26,0.0001,inclinom_wells!$G$1,0)</f>
        <v>{"construction":{"h_list_m":{"hmes_m":[0,116.805,233.609,350.414,467.218,584.023,700.827,817.632,934.437,1051.241,1168.046,1284.85,1401.655,1518.46,1635.264,1752.069,1868.873,1985.678,2102.482,2219.287,2336.092],"hvert_m":[0,116.805,233.609,350.414,467.218,584.023,700.827,817.632,934.437,1049.192,1160.644,1269.911,1376.473,1480.06,1580.975,1679.217,1774.787,1867.686,1957.862,2045.08,2129.625]},"diam_list_mm":{"hmes_m":[0,1900,2336.092],"diam_int_mm":[65,51.235,140]},"roughness_m":0.0001},"t_model":{"t_model":1,"t_list_C":{"hvert_m":[0,1000,2000,2500],"t_C":[10,35,80,95]}},"flow_correlation":0,"flow_along_coord":false,"calibr_grav":1,"calibr_fric":1,"h_start_m":0,"h_end_m":2336.09166666617,"znlf":false}</v>
      </c>
      <c r="AL41" cm="1">
        <f t="array" ref="AL41">[1]!MF_pipe_p_atma($O$26,$S$26,AJ41,$N$26,1,,$T$26,$V$26,0,$U$26)</f>
        <v>193.405</v>
      </c>
      <c r="AM41" cm="1">
        <f t="array" ref="AM41">MF_pipe_p_atma($R$26,$S$26,AK41,$L$26,1,,0,0,0,$U$26)</f>
        <v>133.02500000000001</v>
      </c>
      <c r="AN41">
        <f t="shared" ref="AN41:AN47" si="10">AI41-AH41</f>
        <v>-60.384999999999991</v>
      </c>
      <c r="AO41">
        <f t="shared" ref="AO41:AO47" si="11">AM41-AL41</f>
        <v>-60.379999999999995</v>
      </c>
      <c r="AP41">
        <f t="shared" ref="AP41:AP47" si="12">(AN41-AO41)/2/$X$35</f>
        <v>-2.4999999999977263E-2</v>
      </c>
      <c r="AQ41">
        <f t="shared" ref="AQ41:AQ47" si="13">AE41/AP41</f>
        <v>1.2400000000013642</v>
      </c>
    </row>
    <row r="42" spans="23:43" x14ac:dyDescent="0.25">
      <c r="Z42">
        <f t="shared" si="8"/>
        <v>2334.9516666661707</v>
      </c>
      <c r="AA42" t="str" cm="1">
        <f t="array" ref="AA42">create_pipe_construction(0,Z42,20,inclinom_wells!$B$2:$B$18,inclinom_wells!$C$2:$C$18,$AA$26,$Z$26,$AB$26,$X$26,Z42,$W$26,0.0001,inclinom_wells!$G$1,0)</f>
        <v>{"construction":{"h_list_m":{"hmes_m":[0,116.748,233.495,350.243,466.99,583.738,700.485,817.233,933.981,1050.728,1167.476,1284.223,1400.971,1517.719,1634.466,1751.214,1867.961,1984.709,2101.456,2218.204,2334.952],"hvert_m":[0,116.748,233.495,350.243,466.99,583.738,700.485,817.233,933.981,1048.699,1160.102,1269.328,1375.864,1479.415,1580.296,1678.507,1774.049,1866.92,1957.092,2044.289,2128.816]},"diam_list_mm":{"hmes_m":[0,1900,2334.952],"diam_int_mm":[65,51.235,140]},"roughness_m":0.0001},"t_model":{"t_model":1,"t_list_C":{"hvert_m":[0,1000,2000,2500],"t_C":[10,35,80,95]}},"flow_correlation":0,"flow_along_coord":false,"calibr_grav":1,"calibr_fric":1,"h_start_m":0,"h_end_m":2334.95166666617,"znlf":false}</v>
      </c>
      <c r="AB42" t="str" cm="1">
        <f t="array" ref="AB42">create_pipe_construction(0,Z42,20,inclinom_wells!$B$2:$B$18,inclinom_wells!$C$2:$C$18,$AA$26,$Z$26,$AB$26,$X$26,Z42,$W$26,0.0001,inclinom_wells!$G$1,1)</f>
        <v>{"construction":{"h_list_m":{"hmes_m":[0,116.748,233.495,350.243,466.99,583.738,700.485,817.233,933.981,1050.728,1167.476,1284.223,1400.971,1517.719,1634.466,1751.214,1867.961,1984.709,2101.456,2218.204,2334.952],"hvert_m":[0,116.748,233.495,350.243,466.99,583.738,700.485,817.233,933.981,1048.699,1160.102,1269.328,1375.864,1479.415,1580.296,1678.507,1774.049,1866.92,1957.092,2044.289,2128.816]},"diam_list_mm":{"hmes_m":[0,1900,2334.952],"diam_int_mm":[123.996,40,140]},"roughness_m":0.0001},"t_model":{"t_model":1,"t_list_C":{"hvert_m":[0,1000,2000,2500],"t_C":[10,35,80,95]}},"flow_correlation":0,"flow_along_coord":false,"calibr_grav":1,"calibr_fric":1,"h_start_m":0,"h_end_m":2334.95166666617,"znlf":false}</v>
      </c>
      <c r="AC42" cm="1">
        <f t="array" ref="AC42">[1]!MF_pipe_p_atma($O$26,$S$26,AA42,$N$26,1,,$T$26,$V$26,0,$U$26)</f>
        <v>133.02500000000001</v>
      </c>
      <c r="AD42" cm="1">
        <f t="array" ref="AD42">MF_pipe_p_atma($R$26,$S$26,AB42,$L$26,1,,0,0,0,$U$26)</f>
        <v>133.02699999999999</v>
      </c>
      <c r="AE42">
        <f t="shared" si="9"/>
        <v>1.999999999981128E-3</v>
      </c>
      <c r="AF42" t="str" cm="1">
        <f t="array" ref="AF42">create_pipe_construction(0,Z42+$X$35,20,inclinom_wells!$B$2:$B$18,inclinom_wells!$C$2:$C$18,$AA$26,$Z$26,$AB$26,$X$26,Z42+$X$35,$W$26,0.0001,inclinom_wells!$G$1,1)</f>
        <v>{"construction":{"h_list_m":{"hmes_m":[0,116.753,233.505,350.258,467.01,583.763,700.515,817.268,934.021,1050.773,1167.526,1284.278,1401.031,1517.784,1634.536,1751.289,1868.041,1984.794,2101.546,2218.299,2335.052],"hvert_m":[0,116.753,233.505,350.258,467.01,583.763,700.515,817.268,934.021,1048.742,1160.15,1269.379,1375.918,1479.472,1580.356,1678.57,1774.113,1866.987,1957.16,2044.358,2128.887]},"diam_list_mm":{"hmes_m":[0,1900,2335.052],"diam_int_mm":[123.996,40,140]},"roughness_m":0.0001},"t_model":{"t_model":1,"t_list_C":{"hvert_m":[0,1000,2000,2500],"t_C":[10,35,80,95]}},"flow_correlation":0,"flow_along_coord":false,"calibr_grav":1,"calibr_fric":1,"h_start_m":0,"h_end_m":2335.05166666617,"znlf":false}</v>
      </c>
      <c r="AG42" t="str" cm="1">
        <f t="array" ref="AG42">create_pipe_construction(0,Z42+$X$35,20,inclinom_wells!$B$2:$B$18,inclinom_wells!$C$2:$C$18,$AA$26,$Z$26,$AB$26,$X$26,Z42+$X$35,$W$26,0.0001,inclinom_wells!$G$1,0)</f>
        <v>{"construction":{"h_list_m":{"hmes_m":[0,116.753,233.505,350.258,467.01,583.763,700.515,817.268,934.021,1050.773,1167.526,1284.278,1401.031,1517.784,1634.536,1751.289,1868.041,1984.794,2101.546,2218.299,2335.052],"hvert_m":[0,116.753,233.505,350.258,467.01,583.763,700.515,817.268,934.021,1048.742,1160.15,1269.379,1375.918,1479.472,1580.356,1678.57,1774.113,1866.987,1957.16,2044.358,2128.887]},"diam_list_mm":{"hmes_m":[0,1900,2335.052],"diam_int_mm":[65,51.235,140]},"roughness_m":0.0001},"t_model":{"t_model":1,"t_list_C":{"hvert_m":[0,1000,2000,2500],"t_C":[10,35,80,95]}},"flow_correlation":0,"flow_along_coord":false,"calibr_grav":1,"calibr_fric":1,"h_start_m":0,"h_end_m":2335.05166666617,"znlf":false}</v>
      </c>
      <c r="AH42" cm="1">
        <f t="array" ref="AH42">[1]!MF_pipe_p_atma($O$26,$S$26,AF42,$N$26,1,,$T$26,$V$26,0,$U$26)</f>
        <v>193.37</v>
      </c>
      <c r="AI42" cm="1">
        <f t="array" ref="AI42">MF_pipe_p_atma($R$26,$S$26,AG42,$L$26,1,,0,0,0,$U$26)</f>
        <v>133.018</v>
      </c>
      <c r="AJ42" t="str" cm="1">
        <f t="array" ref="AJ42">create_pipe_construction(0,Z42-$X$35,20,inclinom_wells!$B$2:$B$18,inclinom_wells!$C$2:$C$18,$AA$26,$Z$26,$AB$26,$X$26,Z42-$X$35,$W$26,0.0001,inclinom_wells!$G$1,1)</f>
        <v>{"construction":{"h_list_m":{"hmes_m":[0,116.743,233.485,350.228,466.97,583.713,700.455,817.198,933.941,1050.683,1167.426,1284.168,1400.911,1517.654,1634.396,1751.139,1867.881,1984.624,2101.366,2218.109,2334.852],"hvert_m":[0,116.743,233.485,350.228,466.97,583.713,700.455,817.198,933.941,1048.656,1160.055,1269.277,1375.811,1479.359,1580.237,1678.445,1773.984,1866.853,1957.025,2044.22,2128.745]},"diam_list_mm":{"hmes_m":[0,1900,2334.852],"diam_int_mm":[123.996,40,140]},"roughness_m":0.0001},"t_model":{"t_model":1,"t_list_C":{"hvert_m":[0,1000,2000,2500],"t_C":[10,35,80,95]}},"flow_correlation":0,"flow_along_coord":false,"calibr_grav":1,"calibr_fric":1,"h_start_m":0,"h_end_m":2334.85166666617,"znlf":false}</v>
      </c>
      <c r="AK42" t="str" cm="1">
        <f t="array" ref="AK42">create_pipe_construction(0,Z42-$X$35,20,inclinom_wells!$B$2:$B$18,inclinom_wells!$C$2:$C$18,$AA$26,$Z$26,$AB$26,$X$26,Z42-$X$35,$W$26,0.0001,inclinom_wells!$G$1,0)</f>
        <v>{"construction":{"h_list_m":{"hmes_m":[0,116.743,233.485,350.228,466.97,583.713,700.455,817.198,933.941,1050.683,1167.426,1284.168,1400.911,1517.654,1634.396,1751.139,1867.881,1984.624,2101.366,2218.109,2334.852],"hvert_m":[0,116.743,233.485,350.228,466.97,583.713,700.455,817.198,933.941,1048.656,1160.055,1269.277,1375.811,1479.359,1580.237,1678.445,1773.984,1866.853,1957.025,2044.22,2128.745]},"diam_list_mm":{"hmes_m":[0,1900,2334.852],"diam_int_mm":[65,51.235,140]},"roughness_m":0.0001},"t_model":{"t_model":1,"t_list_C":{"hvert_m":[0,1000,2000,2500],"t_C":[10,35,80,95]}},"flow_correlation":0,"flow_along_coord":false,"calibr_grav":1,"calibr_fric":1,"h_start_m":0,"h_end_m":2334.85166666617,"znlf":false}</v>
      </c>
      <c r="AL42" cm="1">
        <f t="array" ref="AL42">[1]!MF_pipe_p_atma($O$26,$S$26,AJ42,$N$26,1,,$T$26,$V$26,0,$U$26)</f>
        <v>193.364</v>
      </c>
      <c r="AM42" cm="1">
        <f t="array" ref="AM42">MF_pipe_p_atma($R$26,$S$26,AK42,$L$26,1,,0,0,0,$U$26)</f>
        <v>133.017</v>
      </c>
      <c r="AN42">
        <f t="shared" si="10"/>
        <v>-60.352000000000004</v>
      </c>
      <c r="AO42">
        <f t="shared" si="11"/>
        <v>-60.347000000000008</v>
      </c>
      <c r="AP42">
        <f t="shared" si="12"/>
        <v>-2.4999999999977263E-2</v>
      </c>
      <c r="AQ42">
        <f t="shared" si="13"/>
        <v>-7.9999999999317881E-2</v>
      </c>
    </row>
    <row r="43" spans="23:43" x14ac:dyDescent="0.25">
      <c r="Z43">
        <f t="shared" si="8"/>
        <v>2335.0316666661702</v>
      </c>
      <c r="AA43" t="str" cm="1">
        <f t="array" ref="AA43">create_pipe_construction(0,Z43,20,inclinom_wells!$B$2:$B$18,inclinom_wells!$C$2:$C$18,$AA$26,$Z$26,$AB$26,$X$26,Z43,$W$26,0.0001,inclinom_wells!$G$1,0)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[65,51.235,140]},"roughness_m":0.0001},"t_model":{"t_model":1,"t_list_C":{"hvert_m":[0,1000,2000,2500],"t_C":[10,35,80,95]}},"flow_correlation":0,"flow_along_coord":false,"calibr_grav":1,"calibr_fric":1,"h_start_m":0,"h_end_m":2335.03166666617,"znlf":false}</v>
      </c>
      <c r="AB43" t="str" cm="1">
        <f t="array" ref="AB43">create_pipe_construction(0,Z43,20,inclinom_wells!$B$2:$B$18,inclinom_wells!$C$2:$C$18,$AA$26,$Z$26,$AB$26,$X$26,Z43,$W$26,0.0001,inclinom_wells!$G$1,1)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[123.996,40,140]},"roughness_m":0.0001},"t_model":{"t_model":1,"t_list_C":{"hvert_m":[0,1000,2000,2500],"t_C":[10,35,80,95]}},"flow_correlation":0,"flow_along_coord":false,"calibr_grav":1,"calibr_fric":1,"h_start_m":0,"h_end_m":2335.03166666617,"znlf":false}</v>
      </c>
      <c r="AC43" cm="1">
        <f t="array" ref="AC43">[1]!MF_pipe_p_atma($O$26,$S$26,AA43,$N$26,1,,$T$26,$V$26,0,$U$26)</f>
        <v>133.02699999999999</v>
      </c>
      <c r="AD43" cm="1">
        <f t="array" ref="AD43">MF_pipe_p_atma($R$26,$S$26,AB43,$L$26,1,,0,0,0,$U$26)</f>
        <v>133.02799999999999</v>
      </c>
      <c r="AE43">
        <f t="shared" si="9"/>
        <v>1.0000000000047748E-3</v>
      </c>
      <c r="AF43" t="str" cm="1">
        <f t="array" ref="AF43">create_pipe_construction(0,Z43+$X$35,20,inclinom_wells!$B$2:$B$18,inclinom_wells!$C$2:$C$18,$AA$26,$Z$26,$AB$26,$X$26,Z43+$X$35,$W$26,0.0001,inclinom_wells!$G$1,1)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[123.996,40,140]},"roughness_m":0.0001},"t_model":{"t_model":1,"t_list_C":{"hvert_m":[0,1000,2000,2500],"t_C":[10,35,80,95]}},"flow_correlation":0,"flow_along_coord":false,"calibr_grav":1,"calibr_fric":1,"h_start_m":0,"h_end_m":2335.13166666617,"znlf":false}</v>
      </c>
      <c r="AG43" t="str" cm="1">
        <f t="array" ref="AG43">create_pipe_construction(0,Z43+$X$35,20,inclinom_wells!$B$2:$B$18,inclinom_wells!$C$2:$C$18,$AA$26,$Z$26,$AB$26,$X$26,Z43+$X$35,$W$26,0.0001,inclinom_wells!$G$1,0)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[65,51.235,140]},"roughness_m":0.0001},"t_model":{"t_model":1,"t_list_C":{"hvert_m":[0,1000,2000,2500],"t_C":[10,35,80,95]}},"flow_correlation":0,"flow_along_coord":false,"calibr_grav":1,"calibr_fric":1,"h_start_m":0,"h_end_m":2335.13166666617,"znlf":false}</v>
      </c>
      <c r="AH43" cm="1">
        <f t="array" ref="AH43">[1]!MF_pipe_p_atma($O$26,$S$26,AF43,$N$26,1,,$T$26,$V$26,0,$U$26)</f>
        <v>193.37299999999999</v>
      </c>
      <c r="AI43" cm="1">
        <f t="array" ref="AI43">MF_pipe_p_atma($R$26,$S$26,AG43,$L$26,1,,0,0,0,$U$26)</f>
        <v>133.01900000000001</v>
      </c>
      <c r="AJ43" t="str" cm="1">
        <f t="array" ref="AJ43">create_pipe_construction(0,Z43-$X$35,20,inclinom_wells!$B$2:$B$18,inclinom_wells!$C$2:$C$18,$AA$26,$Z$26,$AB$26,$X$26,Z43-$X$35,$W$26,0.0001,inclinom_wells!$G$1,1)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[123.996,40,140]},"roughness_m":0.0001},"t_model":{"t_model":1,"t_list_C":{"hvert_m":[0,1000,2000,2500],"t_C":[10,35,80,95]}},"flow_correlation":0,"flow_along_coord":false,"calibr_grav":1,"calibr_fric":1,"h_start_m":0,"h_end_m":2334.93166666617,"znlf":false}</v>
      </c>
      <c r="AK43" t="str" cm="1">
        <f t="array" ref="AK43">create_pipe_construction(0,Z43-$X$35,20,inclinom_wells!$B$2:$B$18,inclinom_wells!$C$2:$C$18,$AA$26,$Z$26,$AB$26,$X$26,Z43-$X$35,$W$26,0.0001,inclinom_wells!$G$1,0)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[65,51.235,140]},"roughness_m":0.0001},"t_model":{"t_model":1,"t_list_C":{"hvert_m":[0,1000,2000,2500],"t_C":[10,35,80,95]}},"flow_correlation":0,"flow_along_coord":false,"calibr_grav":1,"calibr_fric":1,"h_start_m":0,"h_end_m":2334.93166666617,"znlf":false}</v>
      </c>
      <c r="AL43" cm="1">
        <f t="array" ref="AL43">[1]!MF_pipe_p_atma($O$26,$S$26,AJ43,$N$26,1,,$T$26,$V$26,0,$U$26)</f>
        <v>193.36600000000001</v>
      </c>
      <c r="AM43" cm="1">
        <f t="array" ref="AM43">MF_pipe_p_atma($R$26,$S$26,AK43,$L$26,1,,0,0,0,$U$26)</f>
        <v>133.017</v>
      </c>
      <c r="AN43">
        <f t="shared" si="10"/>
        <v>-60.353999999999985</v>
      </c>
      <c r="AO43">
        <f t="shared" si="11"/>
        <v>-60.349000000000018</v>
      </c>
      <c r="AP43">
        <f t="shared" si="12"/>
        <v>-2.4999999999835154E-2</v>
      </c>
      <c r="AQ43">
        <f t="shared" si="13"/>
        <v>-4.0000000000454748E-2</v>
      </c>
    </row>
    <row r="44" spans="23:43" x14ac:dyDescent="0.25">
      <c r="Z44">
        <f t="shared" si="8"/>
        <v>2335.0716666661706</v>
      </c>
      <c r="AA44" t="str" cm="1">
        <f t="array" ref="AA44">create_pipe_construction(0,Z44,20,inclinom_wells!$B$2:$B$18,inclinom_wells!$C$2:$C$18,$AA$26,$Z$26,$AB$26,$X$26,Z44,$W$26,0.0001,inclinom_wells!$G$1,0)</f>
        <v>{"construction":{"h_list_m":{"hmes_m":[0,116.754,233.507,350.261,467.014,583.768,700.521,817.275,934.029,1050.782,1167.536,1284.289,1401.043,1517.797,1634.55,1751.304,1868.057,1984.811,2101.564,2218.318,2335.072],"hvert_m":[0,116.754,233.507,350.261,467.014,583.768,700.521,817.275,934.029,1048.751,1160.159,1269.389,1375.928,1479.483,1580.368,1678.582,1774.126,1867.001,1957.173,2044.372,2128.901]},"diam_list_mm":{"hmes_m":[0,1900,2335.072],"diam_int_mm":[65,51.235,140]},"roughness_m":0.0001},"t_model":{"t_model":1,"t_list_C":{"hvert_m":[0,1000,2000,2500],"t_C":[10,35,80,95]}},"flow_correlation":0,"flow_along_coord":false,"calibr_grav":1,"calibr_fric":1,"h_start_m":0,"h_end_m":2335.07166666617,"znlf":false}</v>
      </c>
      <c r="AB44" t="str" cm="1">
        <f t="array" ref="AB44">create_pipe_construction(0,Z44,20,inclinom_wells!$B$2:$B$18,inclinom_wells!$C$2:$C$18,$AA$26,$Z$26,$AB$26,$X$26,Z44,$W$26,0.0001,inclinom_wells!$G$1,1)</f>
        <v>{"construction":{"h_list_m":{"hmes_m":[0,116.754,233.507,350.261,467.014,583.768,700.521,817.275,934.029,1050.782,1167.536,1284.289,1401.043,1517.797,1634.55,1751.304,1868.057,1984.811,2101.564,2218.318,2335.072],"hvert_m":[0,116.754,233.507,350.261,467.014,583.768,700.521,817.275,934.029,1048.751,1160.159,1269.389,1375.928,1479.483,1580.368,1678.582,1774.126,1867.001,1957.173,2044.372,2128.901]},"diam_list_mm":{"hmes_m":[0,1900,2335.072],"diam_int_mm":[123.996,40,140]},"roughness_m":0.0001},"t_model":{"t_model":1,"t_list_C":{"hvert_m":[0,1000,2000,2500],"t_C":[10,35,80,95]}},"flow_correlation":0,"flow_along_coord":false,"calibr_grav":1,"calibr_fric":1,"h_start_m":0,"h_end_m":2335.07166666617,"znlf":false}</v>
      </c>
      <c r="AC44" cm="1">
        <f t="array" ref="AC44">[1]!MF_pipe_p_atma($O$26,$S$26,AA44,$N$26,1,,$T$26,$V$26,0,$U$26)</f>
        <v>133.029</v>
      </c>
      <c r="AD44" cm="1">
        <f t="array" ref="AD44">MF_pipe_p_atma($R$26,$S$26,AB44,$L$26,1,,0,0,0,$U$26)</f>
        <v>133.02799999999999</v>
      </c>
      <c r="AE44">
        <f t="shared" si="9"/>
        <v>-1.0000000000047748E-3</v>
      </c>
      <c r="AF44" t="str" cm="1">
        <f t="array" ref="AF44">create_pipe_construction(0,Z44+$X$35,20,inclinom_wells!$B$2:$B$18,inclinom_wells!$C$2:$C$18,$AA$26,$Z$26,$AB$26,$X$26,Z44+$X$35,$W$26,0.0001,inclinom_wells!$G$1,1)</f>
        <v>{"construction":{"h_list_m":{"hmes_m":[0,116.759,233.517,350.276,467.034,583.793,700.551,817.31,934.069,1050.827,1167.586,1284.344,1401.103,1517.862,1634.62,1751.379,1868.137,1984.896,2101.654,2218.413,2335.172],"hvert_m":[0,116.759,233.517,350.276,467.034,583.793,700.551,817.31,934.069,1048.794,1160.207,1269.44,1375.982,1479.54,1580.427,1678.644,1774.191,1867.068,1957.241,2044.442,2128.972]},"diam_list_mm":{"hmes_m":[0,1900,2335.172],"diam_int_mm":[123.996,40,140]},"roughness_m":0.0001},"t_model":{"t_model":1,"t_list_C":{"hvert_m":[0,1000,2000,2500],"t_C":[10,35,80,95]}},"flow_correlation":0,"flow_along_coord":false,"calibr_grav":1,"calibr_fric":1,"h_start_m":0,"h_end_m":2335.17166666617,"znlf":false}</v>
      </c>
      <c r="AG44" t="str" cm="1">
        <f t="array" ref="AG44">create_pipe_construction(0,Z44+$X$35,20,inclinom_wells!$B$2:$B$18,inclinom_wells!$C$2:$C$18,$AA$26,$Z$26,$AB$26,$X$26,Z44+$X$35,$W$26,0.0001,inclinom_wells!$G$1,0)</f>
        <v>{"construction":{"h_list_m":{"hmes_m":[0,116.759,233.517,350.276,467.034,583.793,700.551,817.31,934.069,1050.827,1167.586,1284.344,1401.103,1517.862,1634.62,1751.379,1868.137,1984.896,2101.654,2218.413,2335.172],"hvert_m":[0,116.759,233.517,350.276,467.034,583.793,700.551,817.31,934.069,1048.794,1160.207,1269.44,1375.982,1479.54,1580.427,1678.644,1774.191,1867.068,1957.241,2044.442,2128.972]},"diam_list_mm":{"hmes_m":[0,1900,2335.172],"diam_int_mm":[65,51.235,140]},"roughness_m":0.0001},"t_model":{"t_model":1,"t_list_C":{"hvert_m":[0,1000,2000,2500],"t_C":[10,35,80,95]}},"flow_correlation":0,"flow_along_coord":false,"calibr_grav":1,"calibr_fric":1,"h_start_m":0,"h_end_m":2335.17166666617,"znlf":false}</v>
      </c>
      <c r="AH44" cm="1">
        <f t="array" ref="AH44">[1]!MF_pipe_p_atma($O$26,$S$26,AF44,$N$26,1,,$T$26,$V$26,0,$U$26)</f>
        <v>193.374</v>
      </c>
      <c r="AI44" cm="1">
        <f t="array" ref="AI44">MF_pipe_p_atma($R$26,$S$26,AG44,$L$26,1,,0,0,0,$U$26)</f>
        <v>133.01900000000001</v>
      </c>
      <c r="AJ44" t="str" cm="1">
        <f t="array" ref="AJ44">create_pipe_construction(0,Z44-$X$35,20,inclinom_wells!$B$2:$B$18,inclinom_wells!$C$2:$C$18,$AA$26,$Z$26,$AB$26,$X$26,Z44-$X$35,$W$26,0.0001,inclinom_wells!$G$1,1)</f>
        <v>{"construction":{"h_list_m":{"hmes_m":[0,116.749,233.497,350.246,466.994,583.743,700.491,817.24,933.989,1050.737,1167.486,1284.234,1400.983,1517.732,1634.48,1751.229,1867.977,1984.726,2101.474,2218.223,2334.972],"hvert_m":[0,116.749,233.497,350.246,466.994,583.743,700.491,817.24,933.989,1048.708,1160.112,1269.338,1375.875,1479.426,1580.308,1678.52,1774.062,1866.933,1957.106,2044.303,2128.83]},"diam_list_mm":{"hmes_m":[0,1900,2334.972],"diam_int_mm":[123.996,40,140]},"roughness_m":0.0001},"t_model":{"t_model":1,"t_list_C":{"hvert_m":[0,1000,2000,2500],"t_C":[10,35,80,95]}},"flow_correlation":0,"flow_along_coord":false,"calibr_grav":1,"calibr_fric":1,"h_start_m":0,"h_end_m":2334.97166666617,"znlf":false}</v>
      </c>
      <c r="AK44" t="str" cm="1">
        <f t="array" ref="AK44">create_pipe_construction(0,Z44-$X$35,20,inclinom_wells!$B$2:$B$18,inclinom_wells!$C$2:$C$18,$AA$26,$Z$26,$AB$26,$X$26,Z44-$X$35,$W$26,0.0001,inclinom_wells!$G$1,0)</f>
        <v>{"construction":{"h_list_m":{"hmes_m":[0,116.749,233.497,350.246,466.994,583.743,700.491,817.24,933.989,1050.737,1167.486,1284.234,1400.983,1517.732,1634.48,1751.229,1867.977,1984.726,2101.474,2218.223,2334.972],"hvert_m":[0,116.749,233.497,350.246,466.994,583.743,700.491,817.24,933.989,1048.708,1160.112,1269.338,1375.875,1479.426,1580.308,1678.52,1774.062,1866.933,1957.106,2044.303,2128.83]},"diam_list_mm":{"hmes_m":[0,1900,2334.972],"diam_int_mm":[65,51.235,140]},"roughness_m":0.0001},"t_model":{"t_model":1,"t_list_C":{"hvert_m":[0,1000,2000,2500],"t_C":[10,35,80,95]}},"flow_correlation":0,"flow_along_coord":false,"calibr_grav":1,"calibr_fric":1,"h_start_m":0,"h_end_m":2334.97166666617,"znlf":false}</v>
      </c>
      <c r="AL44" cm="1">
        <f t="array" ref="AL44">[1]!MF_pipe_p_atma($O$26,$S$26,AJ44,$N$26,1,,$T$26,$V$26,0,$U$26)</f>
        <v>193.36799999999999</v>
      </c>
      <c r="AM44" cm="1">
        <f t="array" ref="AM44">MF_pipe_p_atma($R$26,$S$26,AK44,$L$26,1,,0,0,0,$U$26)</f>
        <v>133.018</v>
      </c>
      <c r="AN44">
        <f t="shared" si="10"/>
        <v>-60.35499999999999</v>
      </c>
      <c r="AO44">
        <f t="shared" si="11"/>
        <v>-60.349999999999994</v>
      </c>
      <c r="AP44">
        <f t="shared" si="12"/>
        <v>-2.4999999999977263E-2</v>
      </c>
      <c r="AQ44">
        <f t="shared" si="13"/>
        <v>4.0000000000227375E-2</v>
      </c>
    </row>
    <row r="45" spans="23:43" x14ac:dyDescent="0.25">
      <c r="Z45">
        <f t="shared" si="8"/>
        <v>2335.0316666661702</v>
      </c>
      <c r="AA45" t="str" cm="1">
        <f t="array" ref="AA45">create_pipe_construction(0,Z45,20,inclinom_wells!$B$2:$B$18,inclinom_wells!$C$2:$C$18,$AA$26,$Z$26,$AB$26,$X$26,Z45,$W$26,0.0001,inclinom_wells!$G$1,0)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[65,51.235,140]},"roughness_m":0.0001},"t_model":{"t_model":1,"t_list_C":{"hvert_m":[0,1000,2000,2500],"t_C":[10,35,80,95]}},"flow_correlation":0,"flow_along_coord":false,"calibr_grav":1,"calibr_fric":1,"h_start_m":0,"h_end_m":2335.03166666617,"znlf":false}</v>
      </c>
      <c r="AB45" t="str" cm="1">
        <f t="array" ref="AB45">create_pipe_construction(0,Z45,20,inclinom_wells!$B$2:$B$18,inclinom_wells!$C$2:$C$18,$AA$26,$Z$26,$AB$26,$X$26,Z45,$W$26,0.0001,inclinom_wells!$G$1,1)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[123.996,40,140]},"roughness_m":0.0001},"t_model":{"t_model":1,"t_list_C":{"hvert_m":[0,1000,2000,2500],"t_C":[10,35,80,95]}},"flow_correlation":0,"flow_along_coord":false,"calibr_grav":1,"calibr_fric":1,"h_start_m":0,"h_end_m":2335.03166666617,"znlf":false}</v>
      </c>
      <c r="AC45" cm="1">
        <f t="array" ref="AC45">[1]!MF_pipe_p_atma($O$26,$S$26,AA45,$N$26,1,,$T$26,$V$26,0,$U$26)</f>
        <v>133.02699999999999</v>
      </c>
      <c r="AD45" cm="1">
        <f t="array" ref="AD45">MF_pipe_p_atma($R$26,$S$26,AB45,$L$26,1,,0,0,0,$U$26)</f>
        <v>133.02799999999999</v>
      </c>
      <c r="AE45">
        <f t="shared" si="9"/>
        <v>1.0000000000047748E-3</v>
      </c>
      <c r="AF45" t="str" cm="1">
        <f t="array" ref="AF45">create_pipe_construction(0,Z45+$X$35,20,inclinom_wells!$B$2:$B$18,inclinom_wells!$C$2:$C$18,$AA$26,$Z$26,$AB$26,$X$26,Z45+$X$35,$W$26,0.0001,inclinom_wells!$G$1,1)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[123.996,40,140]},"roughness_m":0.0001},"t_model":{"t_model":1,"t_list_C":{"hvert_m":[0,1000,2000,2500],"t_C":[10,35,80,95]}},"flow_correlation":0,"flow_along_coord":false,"calibr_grav":1,"calibr_fric":1,"h_start_m":0,"h_end_m":2335.13166666617,"znlf":false}</v>
      </c>
      <c r="AG45" t="str" cm="1">
        <f t="array" ref="AG45">create_pipe_construction(0,Z45+$X$35,20,inclinom_wells!$B$2:$B$18,inclinom_wells!$C$2:$C$18,$AA$26,$Z$26,$AB$26,$X$26,Z45+$X$35,$W$26,0.0001,inclinom_wells!$G$1,0)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[65,51.235,140]},"roughness_m":0.0001},"t_model":{"t_model":1,"t_list_C":{"hvert_m":[0,1000,2000,2500],"t_C":[10,35,80,95]}},"flow_correlation":0,"flow_along_coord":false,"calibr_grav":1,"calibr_fric":1,"h_start_m":0,"h_end_m":2335.13166666617,"znlf":false}</v>
      </c>
      <c r="AH45" cm="1">
        <f t="array" ref="AH45">[1]!MF_pipe_p_atma($O$26,$S$26,AF45,$N$26,1,,$T$26,$V$26,0,$U$26)</f>
        <v>193.37299999999999</v>
      </c>
      <c r="AI45" cm="1">
        <f t="array" ref="AI45">MF_pipe_p_atma($R$26,$S$26,AG45,$L$26,1,,0,0,0,$U$26)</f>
        <v>133.01900000000001</v>
      </c>
      <c r="AJ45" t="str" cm="1">
        <f t="array" ref="AJ45">create_pipe_construction(0,Z45-$X$35,20,inclinom_wells!$B$2:$B$18,inclinom_wells!$C$2:$C$18,$AA$26,$Z$26,$AB$26,$X$26,Z45-$X$35,$W$26,0.0001,inclinom_wells!$G$1,1)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[123.996,40,140]},"roughness_m":0.0001},"t_model":{"t_model":1,"t_list_C":{"hvert_m":[0,1000,2000,2500],"t_C":[10,35,80,95]}},"flow_correlation":0,"flow_along_coord":false,"calibr_grav":1,"calibr_fric":1,"h_start_m":0,"h_end_m":2334.93166666617,"znlf":false}</v>
      </c>
      <c r="AK45" t="str" cm="1">
        <f t="array" ref="AK45">create_pipe_construction(0,Z45-$X$35,20,inclinom_wells!$B$2:$B$18,inclinom_wells!$C$2:$C$18,$AA$26,$Z$26,$AB$26,$X$26,Z45-$X$35,$W$26,0.0001,inclinom_wells!$G$1,0)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[65,51.235,140]},"roughness_m":0.0001},"t_model":{"t_model":1,"t_list_C":{"hvert_m":[0,1000,2000,2500],"t_C":[10,35,80,95]}},"flow_correlation":0,"flow_along_coord":false,"calibr_grav":1,"calibr_fric":1,"h_start_m":0,"h_end_m":2334.93166666617,"znlf":false}</v>
      </c>
      <c r="AL45" cm="1">
        <f t="array" ref="AL45">[1]!MF_pipe_p_atma($O$26,$S$26,AJ45,$N$26,1,,$T$26,$V$26,0,$U$26)</f>
        <v>193.36600000000001</v>
      </c>
      <c r="AM45" cm="1">
        <f t="array" ref="AM45">MF_pipe_p_atma($R$26,$S$26,AK45,$L$26,1,,0,0,0,$U$26)</f>
        <v>133.017</v>
      </c>
      <c r="AN45">
        <f t="shared" si="10"/>
        <v>-60.353999999999985</v>
      </c>
      <c r="AO45">
        <f t="shared" si="11"/>
        <v>-60.349000000000018</v>
      </c>
      <c r="AP45">
        <f t="shared" si="12"/>
        <v>-2.4999999999835154E-2</v>
      </c>
      <c r="AQ45">
        <f t="shared" si="13"/>
        <v>-4.0000000000454748E-2</v>
      </c>
    </row>
    <row r="46" spans="23:43" x14ac:dyDescent="0.25">
      <c r="Z46">
        <f t="shared" si="8"/>
        <v>2335.0716666661706</v>
      </c>
      <c r="AA46" t="str" cm="1">
        <f t="array" ref="AA46">create_pipe_construction(0,Z46,20,inclinom_wells!$B$2:$B$18,inclinom_wells!$C$2:$C$18,$AA$26,$Z$26,$AB$26,$X$26,Z46,$W$26,0.0001,inclinom_wells!$G$1,0)</f>
        <v>{"construction":{"h_list_m":{"hmes_m":[0,116.754,233.507,350.261,467.014,583.768,700.521,817.275,934.029,1050.782,1167.536,1284.289,1401.043,1517.797,1634.55,1751.304,1868.057,1984.811,2101.564,2218.318,2335.072],"hvert_m":[0,116.754,233.507,350.261,467.014,583.768,700.521,817.275,934.029,1048.751,1160.159,1269.389,1375.928,1479.483,1580.368,1678.582,1774.126,1867.001,1957.173,2044.372,2128.901]},"diam_list_mm":{"hmes_m":[0,1900,2335.072],"diam_int_mm":[65,51.235,140]},"roughness_m":0.0001},"t_model":{"t_model":1,"t_list_C":{"hvert_m":[0,1000,2000,2500],"t_C":[10,35,80,95]}},"flow_correlation":0,"flow_along_coord":false,"calibr_grav":1,"calibr_fric":1,"h_start_m":0,"h_end_m":2335.07166666617,"znlf":false}</v>
      </c>
      <c r="AB46" t="str" cm="1">
        <f t="array" ref="AB46">create_pipe_construction(0,Z46,20,inclinom_wells!$B$2:$B$18,inclinom_wells!$C$2:$C$18,$AA$26,$Z$26,$AB$26,$X$26,Z46,$W$26,0.0001,inclinom_wells!$G$1,1)</f>
        <v>{"construction":{"h_list_m":{"hmes_m":[0,116.754,233.507,350.261,467.014,583.768,700.521,817.275,934.029,1050.782,1167.536,1284.289,1401.043,1517.797,1634.55,1751.304,1868.057,1984.811,2101.564,2218.318,2335.072],"hvert_m":[0,116.754,233.507,350.261,467.014,583.768,700.521,817.275,934.029,1048.751,1160.159,1269.389,1375.928,1479.483,1580.368,1678.582,1774.126,1867.001,1957.173,2044.372,2128.901]},"diam_list_mm":{"hmes_m":[0,1900,2335.072],"diam_int_mm":[123.996,40,140]},"roughness_m":0.0001},"t_model":{"t_model":1,"t_list_C":{"hvert_m":[0,1000,2000,2500],"t_C":[10,35,80,95]}},"flow_correlation":0,"flow_along_coord":false,"calibr_grav":1,"calibr_fric":1,"h_start_m":0,"h_end_m":2335.07166666617,"znlf":false}</v>
      </c>
      <c r="AC46" cm="1">
        <f t="array" ref="AC46">[1]!MF_pipe_p_atma($O$26,$S$26,AA46,$N$26,1,,$T$26,$V$26,0,$U$26)</f>
        <v>133.029</v>
      </c>
      <c r="AD46" cm="1">
        <f t="array" ref="AD46">MF_pipe_p_atma($R$26,$S$26,AB46,$L$26,1,,0,0,0,$U$26)</f>
        <v>133.02799999999999</v>
      </c>
      <c r="AE46">
        <f t="shared" si="9"/>
        <v>-1.0000000000047748E-3</v>
      </c>
      <c r="AF46" t="str" cm="1">
        <f t="array" ref="AF46">create_pipe_construction(0,Z46+$X$35,20,inclinom_wells!$B$2:$B$18,inclinom_wells!$C$2:$C$18,$AA$26,$Z$26,$AB$26,$X$26,Z46+$X$35,$W$26,0.0001,inclinom_wells!$G$1,1)</f>
        <v>{"construction":{"h_list_m":{"hmes_m":[0,116.759,233.517,350.276,467.034,583.793,700.551,817.31,934.069,1050.827,1167.586,1284.344,1401.103,1517.862,1634.62,1751.379,1868.137,1984.896,2101.654,2218.413,2335.172],"hvert_m":[0,116.759,233.517,350.276,467.034,583.793,700.551,817.31,934.069,1048.794,1160.207,1269.44,1375.982,1479.54,1580.427,1678.644,1774.191,1867.068,1957.241,2044.442,2128.972]},"diam_list_mm":{"hmes_m":[0,1900,2335.172],"diam_int_mm":[123.996,40,140]},"roughness_m":0.0001},"t_model":{"t_model":1,"t_list_C":{"hvert_m":[0,1000,2000,2500],"t_C":[10,35,80,95]}},"flow_correlation":0,"flow_along_coord":false,"calibr_grav":1,"calibr_fric":1,"h_start_m":0,"h_end_m":2335.17166666617,"znlf":false}</v>
      </c>
      <c r="AG46" t="str" cm="1">
        <f t="array" ref="AG46">create_pipe_construction(0,Z46+$X$35,20,inclinom_wells!$B$2:$B$18,inclinom_wells!$C$2:$C$18,$AA$26,$Z$26,$AB$26,$X$26,Z46+$X$35,$W$26,0.0001,inclinom_wells!$G$1,0)</f>
        <v>{"construction":{"h_list_m":{"hmes_m":[0,116.759,233.517,350.276,467.034,583.793,700.551,817.31,934.069,1050.827,1167.586,1284.344,1401.103,1517.862,1634.62,1751.379,1868.137,1984.896,2101.654,2218.413,2335.172],"hvert_m":[0,116.759,233.517,350.276,467.034,583.793,700.551,817.31,934.069,1048.794,1160.207,1269.44,1375.982,1479.54,1580.427,1678.644,1774.191,1867.068,1957.241,2044.442,2128.972]},"diam_list_mm":{"hmes_m":[0,1900,2335.172],"diam_int_mm":[65,51.235,140]},"roughness_m":0.0001},"t_model":{"t_model":1,"t_list_C":{"hvert_m":[0,1000,2000,2500],"t_C":[10,35,80,95]}},"flow_correlation":0,"flow_along_coord":false,"calibr_grav":1,"calibr_fric":1,"h_start_m":0,"h_end_m":2335.17166666617,"znlf":false}</v>
      </c>
      <c r="AH46" cm="1">
        <f t="array" ref="AH46">[1]!MF_pipe_p_atma($O$26,$S$26,AF46,$N$26,1,,$T$26,$V$26,0,$U$26)</f>
        <v>193.374</v>
      </c>
      <c r="AI46" cm="1">
        <f t="array" ref="AI46">MF_pipe_p_atma($R$26,$S$26,AG46,$L$26,1,,0,0,0,$U$26)</f>
        <v>133.01900000000001</v>
      </c>
      <c r="AJ46" t="str" cm="1">
        <f t="array" ref="AJ46">create_pipe_construction(0,Z46-$X$35,20,inclinom_wells!$B$2:$B$18,inclinom_wells!$C$2:$C$18,$AA$26,$Z$26,$AB$26,$X$26,Z46-$X$35,$W$26,0.0001,inclinom_wells!$G$1,1)</f>
        <v>{"construction":{"h_list_m":{"hmes_m":[0,116.749,233.497,350.246,466.994,583.743,700.491,817.24,933.989,1050.737,1167.486,1284.234,1400.983,1517.732,1634.48,1751.229,1867.977,1984.726,2101.474,2218.223,2334.972],"hvert_m":[0,116.749,233.497,350.246,466.994,583.743,700.491,817.24,933.989,1048.708,1160.112,1269.338,1375.875,1479.426,1580.308,1678.52,1774.062,1866.933,1957.106,2044.303,2128.83]},"diam_list_mm":{"hmes_m":[0,1900,2334.972],"diam_int_mm":[123.996,40,140]},"roughness_m":0.0001},"t_model":{"t_model":1,"t_list_C":{"hvert_m":[0,1000,2000,2500],"t_C":[10,35,80,95]}},"flow_correlation":0,"flow_along_coord":false,"calibr_grav":1,"calibr_fric":1,"h_start_m":0,"h_end_m":2334.97166666617,"znlf":false}</v>
      </c>
      <c r="AK46" t="str" cm="1">
        <f t="array" ref="AK46">create_pipe_construction(0,Z46-$X$35,20,inclinom_wells!$B$2:$B$18,inclinom_wells!$C$2:$C$18,$AA$26,$Z$26,$AB$26,$X$26,Z46-$X$35,$W$26,0.0001,inclinom_wells!$G$1,0)</f>
        <v>{"construction":{"h_list_m":{"hmes_m":[0,116.749,233.497,350.246,466.994,583.743,700.491,817.24,933.989,1050.737,1167.486,1284.234,1400.983,1517.732,1634.48,1751.229,1867.977,1984.726,2101.474,2218.223,2334.972],"hvert_m":[0,116.749,233.497,350.246,466.994,583.743,700.491,817.24,933.989,1048.708,1160.112,1269.338,1375.875,1479.426,1580.308,1678.52,1774.062,1866.933,1957.106,2044.303,2128.83]},"diam_list_mm":{"hmes_m":[0,1900,2334.972],"diam_int_mm":[65,51.235,140]},"roughness_m":0.0001},"t_model":{"t_model":1,"t_list_C":{"hvert_m":[0,1000,2000,2500],"t_C":[10,35,80,95]}},"flow_correlation":0,"flow_along_coord":false,"calibr_grav":1,"calibr_fric":1,"h_start_m":0,"h_end_m":2334.97166666617,"znlf":false}</v>
      </c>
      <c r="AL46" cm="1">
        <f t="array" ref="AL46">[1]!MF_pipe_p_atma($O$26,$S$26,AJ46,$N$26,1,,$T$26,$V$26,0,$U$26)</f>
        <v>193.36799999999999</v>
      </c>
      <c r="AM46" cm="1">
        <f t="array" ref="AM46">MF_pipe_p_atma($R$26,$S$26,AK46,$L$26,1,,0,0,0,$U$26)</f>
        <v>133.018</v>
      </c>
      <c r="AN46">
        <f t="shared" si="10"/>
        <v>-60.35499999999999</v>
      </c>
      <c r="AO46">
        <f t="shared" si="11"/>
        <v>-60.349999999999994</v>
      </c>
      <c r="AP46">
        <f t="shared" si="12"/>
        <v>-2.4999999999977263E-2</v>
      </c>
      <c r="AQ46">
        <f t="shared" si="13"/>
        <v>4.0000000000227375E-2</v>
      </c>
    </row>
    <row r="47" spans="23:43" x14ac:dyDescent="0.25">
      <c r="Z47">
        <f t="shared" si="8"/>
        <v>2335.0316666661702</v>
      </c>
      <c r="AA47" t="str" cm="1">
        <f t="array" ref="AA47">create_pipe_construction(0,Z47,20,inclinom_wells!$B$2:$B$18,inclinom_wells!$C$2:$C$18,$AA$26,$Z$26,$AB$26,$X$26,Z47,$W$26,0.0001,inclinom_wells!$G$1,0)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[65,51.235,140]},"roughness_m":0.0001},"t_model":{"t_model":1,"t_list_C":{"hvert_m":[0,1000,2000,2500],"t_C":[10,35,80,95]}},"flow_correlation":0,"flow_along_coord":false,"calibr_grav":1,"calibr_fric":1,"h_start_m":0,"h_end_m":2335.03166666617,"znlf":false}</v>
      </c>
      <c r="AB47" t="str" cm="1">
        <f t="array" ref="AB47">create_pipe_construction(0,Z47,20,inclinom_wells!$B$2:$B$18,inclinom_wells!$C$2:$C$18,$AA$26,$Z$26,$AB$26,$X$26,Z47,$W$26,0.0001,inclinom_wells!$G$1,1)</f>
        <v>{"construction":{"h_list_m":{"hmes_m":[0,116.752,233.503,350.255,467.006,583.758,700.509,817.261,934.013,1050.764,1167.516,1284.267,1401.019,1517.771,1634.522,1751.274,1868.025,1984.777,2101.528,2218.28,2335.032],"hvert_m":[0,116.752,233.503,350.255,467.006,583.758,700.509,817.261,934.013,1048.734,1160.14,1269.369,1375.907,1479.46,1580.344,1678.557,1774.101,1866.974,1957.146,2044.344,2128.872]},"diam_list_mm":{"hmes_m":[0,1900,2335.032],"diam_int_mm":[123.996,40,140]},"roughness_m":0.0001},"t_model":{"t_model":1,"t_list_C":{"hvert_m":[0,1000,2000,2500],"t_C":[10,35,80,95]}},"flow_correlation":0,"flow_along_coord":false,"calibr_grav":1,"calibr_fric":1,"h_start_m":0,"h_end_m":2335.03166666617,"znlf":false}</v>
      </c>
      <c r="AC47" cm="1">
        <f t="array" ref="AC47">[1]!MF_pipe_p_atma($O$26,$S$26,AA47,$N$26,1,,$T$26,$V$26,0,$U$26)</f>
        <v>133.02699999999999</v>
      </c>
      <c r="AD47" cm="1">
        <f t="array" ref="AD47">MF_pipe_p_atma($R$26,$S$26,AB47,$L$26,1,,0,0,0,$U$26)</f>
        <v>133.02799999999999</v>
      </c>
      <c r="AE47">
        <f t="shared" si="9"/>
        <v>1.0000000000047748E-3</v>
      </c>
      <c r="AF47" t="str" cm="1">
        <f t="array" ref="AF47">create_pipe_construction(0,Z47+$X$35,20,inclinom_wells!$B$2:$B$18,inclinom_wells!$C$2:$C$18,$AA$26,$Z$26,$AB$26,$X$26,Z47+$X$35,$W$26,0.0001,inclinom_wells!$G$1,1)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[123.996,40,140]},"roughness_m":0.0001},"t_model":{"t_model":1,"t_list_C":{"hvert_m":[0,1000,2000,2500],"t_C":[10,35,80,95]}},"flow_correlation":0,"flow_along_coord":false,"calibr_grav":1,"calibr_fric":1,"h_start_m":0,"h_end_m":2335.13166666617,"znlf":false}</v>
      </c>
      <c r="AG47" t="str" cm="1">
        <f t="array" ref="AG47">create_pipe_construction(0,Z47+$X$35,20,inclinom_wells!$B$2:$B$18,inclinom_wells!$C$2:$C$18,$AA$26,$Z$26,$AB$26,$X$26,Z47+$X$35,$W$26,0.0001,inclinom_wells!$G$1,0)</f>
        <v>{"construction":{"h_list_m":{"hmes_m":[0,116.757,233.513,350.27,467.026,583.783,700.539,817.296,934.053,1050.809,1167.566,1284.322,1401.079,1517.836,1634.592,1751.349,1868.105,1984.862,2101.618,2218.375,2335.132],"hvert_m":[0,116.757,233.513,350.27,467.026,583.783,700.539,817.296,934.053,1048.777,1160.188,1269.42,1375.96,1479.517,1580.403,1678.619,1774.165,1867.041,1957.214,2044.414,2128.943]},"diam_list_mm":{"hmes_m":[0,1900,2335.132],"diam_int_mm":[65,51.235,140]},"roughness_m":0.0001},"t_model":{"t_model":1,"t_list_C":{"hvert_m":[0,1000,2000,2500],"t_C":[10,35,80,95]}},"flow_correlation":0,"flow_along_coord":false,"calibr_grav":1,"calibr_fric":1,"h_start_m":0,"h_end_m":2335.13166666617,"znlf":false}</v>
      </c>
      <c r="AH47" cm="1">
        <f t="array" ref="AH47">[1]!MF_pipe_p_atma($O$26,$S$26,AF47,$N$26,1,,$T$26,$V$26,0,$U$26)</f>
        <v>193.37299999999999</v>
      </c>
      <c r="AI47" cm="1">
        <f t="array" ref="AI47">MF_pipe_p_atma($R$26,$S$26,AG47,$L$26,1,,0,0,0,$U$26)</f>
        <v>133.01900000000001</v>
      </c>
      <c r="AJ47" t="str" cm="1">
        <f t="array" ref="AJ47">create_pipe_construction(0,Z47-$X$35,20,inclinom_wells!$B$2:$B$18,inclinom_wells!$C$2:$C$18,$AA$26,$Z$26,$AB$26,$X$26,Z47-$X$35,$W$26,0.0001,inclinom_wells!$G$1,1)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[123.996,40,140]},"roughness_m":0.0001},"t_model":{"t_model":1,"t_list_C":{"hvert_m":[0,1000,2000,2500],"t_C":[10,35,80,95]}},"flow_correlation":0,"flow_along_coord":false,"calibr_grav":1,"calibr_fric":1,"h_start_m":0,"h_end_m":2334.93166666617,"znlf":false}</v>
      </c>
      <c r="AK47" t="str" cm="1">
        <f t="array" ref="AK47">create_pipe_construction(0,Z47-$X$35,20,inclinom_wells!$B$2:$B$18,inclinom_wells!$C$2:$C$18,$AA$26,$Z$26,$AB$26,$X$26,Z47-$X$35,$W$26,0.0001,inclinom_wells!$G$1,0)</f>
        <v>{"construction":{"h_list_m":{"hmes_m":[0,116.747,233.493,350.24,466.986,583.733,700.479,817.226,933.973,1050.719,1167.466,1284.212,1400.959,1517.706,1634.452,1751.199,1867.945,1984.692,2101.438,2218.185,2334.932],"hvert_m":[0,116.747,233.493,350.24,466.986,583.733,700.479,817.226,933.973,1048.69,1160.093,1269.318,1375.854,1479.404,1580.284,1678.495,1774.036,1866.907,1957.079,2044.275,2128.801]},"diam_list_mm":{"hmes_m":[0,1900,2334.932],"diam_int_mm":[65,51.235,140]},"roughness_m":0.0001},"t_model":{"t_model":1,"t_list_C":{"hvert_m":[0,1000,2000,2500],"t_C":[10,35,80,95]}},"flow_correlation":0,"flow_along_coord":false,"calibr_grav":1,"calibr_fric":1,"h_start_m":0,"h_end_m":2334.93166666617,"znlf":false}</v>
      </c>
      <c r="AL47" cm="1">
        <f t="array" ref="AL47">[1]!MF_pipe_p_atma($O$26,$S$26,AJ47,$N$26,1,,$T$26,$V$26,0,$U$26)</f>
        <v>193.36600000000001</v>
      </c>
      <c r="AM47" cm="1">
        <f t="array" ref="AM47">MF_pipe_p_atma($R$26,$S$26,AK47,$L$26,1,,0,0,0,$U$26)</f>
        <v>133.017</v>
      </c>
      <c r="AN47">
        <f t="shared" si="10"/>
        <v>-60.353999999999985</v>
      </c>
      <c r="AO47">
        <f t="shared" si="11"/>
        <v>-60.349000000000018</v>
      </c>
      <c r="AP47">
        <f t="shared" si="12"/>
        <v>-2.4999999999835154E-2</v>
      </c>
      <c r="AQ47">
        <f t="shared" si="13"/>
        <v>-4.0000000000454748E-2</v>
      </c>
    </row>
    <row r="51" spans="28:53" x14ac:dyDescent="0.25">
      <c r="AB51" cm="1">
        <f t="array" ref="AB51:AB67">FilterDataByName(inclinom_wells!A2:C36,A26,3)</f>
        <v>0</v>
      </c>
      <c r="AC51" cm="1">
        <f t="array" ref="AC51:AC67">FilterDataByName(inclinom_wells!A2:C36,A26,2)</f>
        <v>0</v>
      </c>
    </row>
    <row r="52" spans="28:53" x14ac:dyDescent="0.25">
      <c r="AB52">
        <v>1000</v>
      </c>
      <c r="AC52">
        <v>1000</v>
      </c>
      <c r="AG52" cm="1">
        <f t="array" ref="AG52:BA52">create_pipe_construction_2(0,1900,20,inclinom_wells!A2:C52,A26)</f>
        <v>0</v>
      </c>
      <c r="AH52">
        <v>95</v>
      </c>
      <c r="AI52">
        <v>190</v>
      </c>
      <c r="AJ52">
        <v>285</v>
      </c>
      <c r="AK52">
        <v>380</v>
      </c>
      <c r="AL52">
        <v>475</v>
      </c>
      <c r="AM52">
        <v>570</v>
      </c>
      <c r="AN52">
        <v>665</v>
      </c>
      <c r="AO52">
        <v>760</v>
      </c>
      <c r="AP52">
        <v>855</v>
      </c>
      <c r="AQ52">
        <v>950</v>
      </c>
      <c r="AR52">
        <v>1043.2</v>
      </c>
      <c r="AS52">
        <v>1134</v>
      </c>
      <c r="AT52">
        <v>1223.55</v>
      </c>
      <c r="AU52">
        <v>1311.3</v>
      </c>
      <c r="AV52">
        <v>1397.25</v>
      </c>
      <c r="AW52">
        <v>1481.4</v>
      </c>
      <c r="AX52">
        <v>1563.75</v>
      </c>
      <c r="AY52">
        <v>1644.3</v>
      </c>
      <c r="AZ52">
        <v>1723.05</v>
      </c>
      <c r="BA52">
        <v>1800</v>
      </c>
    </row>
    <row r="53" spans="28:53" x14ac:dyDescent="0.25">
      <c r="AB53">
        <v>1096</v>
      </c>
      <c r="AC53">
        <v>1100</v>
      </c>
    </row>
    <row r="54" spans="28:53" x14ac:dyDescent="0.25">
      <c r="AB54">
        <v>1191</v>
      </c>
      <c r="AC54">
        <v>1200</v>
      </c>
    </row>
    <row r="55" spans="28:53" x14ac:dyDescent="0.25">
      <c r="AB55">
        <v>1284</v>
      </c>
      <c r="AC55">
        <v>1300</v>
      </c>
    </row>
    <row r="56" spans="28:53" x14ac:dyDescent="0.25">
      <c r="AB56">
        <v>1375</v>
      </c>
      <c r="AC56">
        <v>1400</v>
      </c>
    </row>
    <row r="57" spans="28:53" x14ac:dyDescent="0.25">
      <c r="AB57">
        <v>1464</v>
      </c>
      <c r="AC57">
        <v>1500</v>
      </c>
    </row>
    <row r="58" spans="28:53" x14ac:dyDescent="0.25">
      <c r="AB58">
        <v>1551</v>
      </c>
      <c r="AC58">
        <v>1600</v>
      </c>
    </row>
    <row r="59" spans="28:53" x14ac:dyDescent="0.25">
      <c r="AB59">
        <v>1636</v>
      </c>
      <c r="AC59">
        <v>1700</v>
      </c>
    </row>
    <row r="60" spans="28:53" x14ac:dyDescent="0.25">
      <c r="AB60">
        <v>1719</v>
      </c>
      <c r="AC60">
        <v>1800</v>
      </c>
    </row>
    <row r="61" spans="28:53" x14ac:dyDescent="0.25">
      <c r="AB61">
        <v>1800</v>
      </c>
      <c r="AC61">
        <v>1900</v>
      </c>
    </row>
    <row r="62" spans="28:53" x14ac:dyDescent="0.25">
      <c r="AB62">
        <v>1879</v>
      </c>
      <c r="AC62">
        <v>2000</v>
      </c>
    </row>
    <row r="63" spans="28:53" x14ac:dyDescent="0.25">
      <c r="AB63">
        <v>1956</v>
      </c>
      <c r="AC63">
        <v>2100</v>
      </c>
    </row>
    <row r="64" spans="28:53" x14ac:dyDescent="0.25">
      <c r="AB64">
        <v>2031</v>
      </c>
      <c r="AC64">
        <v>2200</v>
      </c>
    </row>
    <row r="65" spans="28:29" x14ac:dyDescent="0.25">
      <c r="AB65">
        <v>2104</v>
      </c>
      <c r="AC65">
        <v>2300</v>
      </c>
    </row>
    <row r="66" spans="28:29" x14ac:dyDescent="0.25">
      <c r="AB66">
        <v>2175</v>
      </c>
      <c r="AC66">
        <v>2400</v>
      </c>
    </row>
    <row r="67" spans="28:29" x14ac:dyDescent="0.25">
      <c r="AB67">
        <v>2244</v>
      </c>
      <c r="AC67">
        <v>2500</v>
      </c>
    </row>
  </sheetData>
  <mergeCells count="4">
    <mergeCell ref="G4:H4"/>
    <mergeCell ref="G5:H5"/>
    <mergeCell ref="G6:H6"/>
    <mergeCell ref="G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calculateFormulas">
                <anchor moveWithCells="1" sizeWithCells="1">
                  <from>
                    <xdr:col>1</xdr:col>
                    <xdr:colOff>95250</xdr:colOff>
                    <xdr:row>1</xdr:row>
                    <xdr:rowOff>133350</xdr:rowOff>
                  </from>
                  <to>
                    <xdr:col>4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105</vt:i4>
      </vt:variant>
    </vt:vector>
  </HeadingPairs>
  <TitlesOfParts>
    <vt:vector size="111" baseType="lpstr">
      <vt:lpstr>Лист1</vt:lpstr>
      <vt:lpstr>Лист3</vt:lpstr>
      <vt:lpstr>Расчет сверху</vt:lpstr>
      <vt:lpstr>Calc_func</vt:lpstr>
      <vt:lpstr>inclinom_wells</vt:lpstr>
      <vt:lpstr>test_calc</vt:lpstr>
      <vt:lpstr>Bob_cal</vt:lpstr>
      <vt:lpstr>'Расчет сверху'!calibr_gas</vt:lpstr>
      <vt:lpstr>calibr_gas</vt:lpstr>
      <vt:lpstr>'Расчет сверху'!calibr_oil</vt:lpstr>
      <vt:lpstr>calibr_oil</vt:lpstr>
      <vt:lpstr>'Расчет сверху'!choke_p</vt:lpstr>
      <vt:lpstr>choke_p</vt:lpstr>
      <vt:lpstr>'Расчет сверху'!CONSTR</vt:lpstr>
      <vt:lpstr>CONSTR</vt:lpstr>
      <vt:lpstr>'Расчет сверху'!d_GLV</vt:lpstr>
      <vt:lpstr>d_GLV</vt:lpstr>
      <vt:lpstr>'Расчет сверху'!dcas</vt:lpstr>
      <vt:lpstr>dcas</vt:lpstr>
      <vt:lpstr>'Расчет сверху'!dchoke</vt:lpstr>
      <vt:lpstr>dchoke</vt:lpstr>
      <vt:lpstr>'Расчет сверху'!dchoke_cas</vt:lpstr>
      <vt:lpstr>dchoke_cas</vt:lpstr>
      <vt:lpstr>'Расчет сверху'!dgas_tub</vt:lpstr>
      <vt:lpstr>dgas_tub</vt:lpstr>
      <vt:lpstr>'Расчет сверху'!dtub</vt:lpstr>
      <vt:lpstr>dtub</vt:lpstr>
      <vt:lpstr>'Расчет сверху'!f_sep</vt:lpstr>
      <vt:lpstr>f_sep</vt:lpstr>
      <vt:lpstr>feed_json_2</vt:lpstr>
      <vt:lpstr>gamma_gas</vt:lpstr>
      <vt:lpstr>Calc_func!gamma_gas_</vt:lpstr>
      <vt:lpstr>test_calc!gamma_gas_</vt:lpstr>
      <vt:lpstr>Лист3!gamma_gas_</vt:lpstr>
      <vt:lpstr>'Расчет сверху'!gamma_gas_</vt:lpstr>
      <vt:lpstr>gamma_oil</vt:lpstr>
      <vt:lpstr>Calc_func!gamma_oil_</vt:lpstr>
      <vt:lpstr>test_calc!gamma_oil_</vt:lpstr>
      <vt:lpstr>Лист3!gamma_oil_</vt:lpstr>
      <vt:lpstr>'Расчет сверху'!gamma_oil_</vt:lpstr>
      <vt:lpstr>Calc_func!gamma_wat_</vt:lpstr>
      <vt:lpstr>test_calc!gamma_wat_</vt:lpstr>
      <vt:lpstr>Лист3!gamma_wat_</vt:lpstr>
      <vt:lpstr>'Расчет сверху'!gamma_wat_</vt:lpstr>
      <vt:lpstr>gamma_water</vt:lpstr>
      <vt:lpstr>'Расчет сверху'!Hgas_inj</vt:lpstr>
      <vt:lpstr>Hgas_inj</vt:lpstr>
      <vt:lpstr>'Расчет сверху'!Hpaker</vt:lpstr>
      <vt:lpstr>Hpaker</vt:lpstr>
      <vt:lpstr>'Расчет сверху'!Hperf</vt:lpstr>
      <vt:lpstr>Hperf</vt:lpstr>
      <vt:lpstr>'Расчет сверху'!INCL</vt:lpstr>
      <vt:lpstr>INCL</vt:lpstr>
      <vt:lpstr>'Расчет сверху'!npt</vt:lpstr>
      <vt:lpstr>npt</vt:lpstr>
      <vt:lpstr>'Расчет сверху'!P_GLV_out</vt:lpstr>
      <vt:lpstr>P_GLV_out</vt:lpstr>
      <vt:lpstr>'Расчет сверху'!P_line_calc</vt:lpstr>
      <vt:lpstr>P_line_calc</vt:lpstr>
      <vt:lpstr>'Расчет сверху'!P_res</vt:lpstr>
      <vt:lpstr>P_res</vt:lpstr>
      <vt:lpstr>'Расчет сверху'!P_wh</vt:lpstr>
      <vt:lpstr>P_wh</vt:lpstr>
      <vt:lpstr>'Расчет сверху'!Pannulus</vt:lpstr>
      <vt:lpstr>Pannulus</vt:lpstr>
      <vt:lpstr>Calc_func!Pb_</vt:lpstr>
      <vt:lpstr>test_calc!Pb_</vt:lpstr>
      <vt:lpstr>Лист3!Pb_</vt:lpstr>
      <vt:lpstr>'Расчет сверху'!Pb_</vt:lpstr>
      <vt:lpstr>Pb_cal</vt:lpstr>
      <vt:lpstr>'Расчет сверху'!Pbuf</vt:lpstr>
      <vt:lpstr>Pbuf</vt:lpstr>
      <vt:lpstr>'Расчет сверху'!Pbuf_calc</vt:lpstr>
      <vt:lpstr>Pbuf_calc</vt:lpstr>
      <vt:lpstr>'Расчет сверху'!pcas_calc</vt:lpstr>
      <vt:lpstr>pcas_calc</vt:lpstr>
      <vt:lpstr>'Расчет сверху'!Pgas_line</vt:lpstr>
      <vt:lpstr>Pgas_line</vt:lpstr>
      <vt:lpstr>'Расчет сверху'!PGLV_in</vt:lpstr>
      <vt:lpstr>PGLV_in</vt:lpstr>
      <vt:lpstr>'Расчет сверху'!Prod_index</vt:lpstr>
      <vt:lpstr>Prod_index</vt:lpstr>
      <vt:lpstr>pvt_corr</vt:lpstr>
      <vt:lpstr>'Расчет сверху'!PVT_json</vt:lpstr>
      <vt:lpstr>PVT_json</vt:lpstr>
      <vt:lpstr>'Расчет сверху'!Q_gas_free</vt:lpstr>
      <vt:lpstr>Q_gas_free</vt:lpstr>
      <vt:lpstr>'Расчет сверху'!q_gas_GLV</vt:lpstr>
      <vt:lpstr>q_gas_GLV</vt:lpstr>
      <vt:lpstr>'Расчет сверху'!Qliq</vt:lpstr>
      <vt:lpstr>Qliq</vt:lpstr>
      <vt:lpstr>Rsb</vt:lpstr>
      <vt:lpstr>Calc_func!Rsb_</vt:lpstr>
      <vt:lpstr>test_calc!Rsb_</vt:lpstr>
      <vt:lpstr>Лист3!Rsb_</vt:lpstr>
      <vt:lpstr>'Расчет сверху'!Rsb_</vt:lpstr>
      <vt:lpstr>'Расчет сверху'!t_GLV</vt:lpstr>
      <vt:lpstr>t_GLV</vt:lpstr>
      <vt:lpstr>'Расчет сверху'!t_model</vt:lpstr>
      <vt:lpstr>t_model</vt:lpstr>
      <vt:lpstr>'Расчет сверху'!T_wh</vt:lpstr>
      <vt:lpstr>T_wh</vt:lpstr>
      <vt:lpstr>Tres</vt:lpstr>
      <vt:lpstr>Calc_func!Tres_</vt:lpstr>
      <vt:lpstr>test_calc!Tres_</vt:lpstr>
      <vt:lpstr>Лист3!Tres_</vt:lpstr>
      <vt:lpstr>'Расчет сверху'!Tres_</vt:lpstr>
      <vt:lpstr>visc_ob</vt:lpstr>
      <vt:lpstr>yg</vt:lpstr>
      <vt:lpstr>yo</vt:lpstr>
      <vt:lpstr>yw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Бажуков</dc:creator>
  <cp:lastModifiedBy>Сергей Бажуков</cp:lastModifiedBy>
  <dcterms:created xsi:type="dcterms:W3CDTF">2023-09-24T06:17:01Z</dcterms:created>
  <dcterms:modified xsi:type="dcterms:W3CDTF">2023-10-27T15:40:39Z</dcterms:modified>
</cp:coreProperties>
</file>